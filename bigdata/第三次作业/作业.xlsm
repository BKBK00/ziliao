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430"/>
  <workbookPr codeName="ThisWorkbook"/>
  <mc:AlternateContent xmlns:mc="http://schemas.openxmlformats.org/markup-compatibility/2006">
    <mc:Choice Requires="x15">
      <x15ac:absPath xmlns:x15ac="http://schemas.microsoft.com/office/spreadsheetml/2010/11/ac" url="D:\课程ppt\现代信息技术与大数据\"/>
    </mc:Choice>
  </mc:AlternateContent>
  <xr:revisionPtr revIDLastSave="0" documentId="8_{A48DE730-80DC-46DA-8EE4-401AAEA44FAA}" xr6:coauthVersionLast="47" xr6:coauthVersionMax="47" xr10:uidLastSave="{00000000-0000-0000-0000-000000000000}"/>
  <bookViews>
    <workbookView xWindow="-120" yWindow="-120" windowWidth="29040" windowHeight="15720"/>
  </bookViews>
  <sheets>
    <sheet name="Allocation-Lacation" sheetId="5" r:id="rId1"/>
    <sheet name="Maximize Minimum Distance" sheetId="4" r:id="rId2"/>
    <sheet name="Minimize Rectilinear Distance" sheetId="1" r:id="rId3"/>
    <sheet name="Minimize the Maximum Distance" sheetId="2" r:id="rId4"/>
    <sheet name="Sheet3" sheetId="3" r:id="rId5"/>
  </sheets>
  <definedNames>
    <definedName name="__xlchart.v1.0" hidden="1">'Allocation-Lacation'!$C$4:$C$15</definedName>
    <definedName name="__xlchart.v1.1" hidden="1">'Allocation-Lacation'!$D$4:$D$15</definedName>
    <definedName name="Customer" localSheetId="0">'Allocation-Lacation'!$C$4:$F$14</definedName>
    <definedName name="Customer">'Minimize Rectilinear Distance'!$C$4:$F$14</definedName>
    <definedName name="Facility" localSheetId="0">'Allocation-Lacation'!$C$14:$F$14</definedName>
    <definedName name="Facility">'Minimize Rectilinear Distance'!$C$14:$F$14</definedName>
    <definedName name="solver_adj" localSheetId="0" hidden="1">'Allocation-Lacation'!$E$4:$F$13,'Allocation-Lacation'!$K$4:$L$13</definedName>
    <definedName name="solver_adj" localSheetId="1" hidden="1">'Maximize Minimum Distance'!$C$14:$D$14,'Maximize Minimum Distance'!$G$4:$J$13,'Maximize Minimum Distance'!$D$15</definedName>
    <definedName name="solver_adj" localSheetId="2" hidden="1">'Minimize Rectilinear Distance'!$C$14:$D$14,'Minimize Rectilinear Distance'!$E$4:$F$13</definedName>
    <definedName name="solver_adj" localSheetId="3" hidden="1">'Minimize the Maximum Distance'!$C$14:$D$14,'Minimize the Maximum Distance'!$G$4:$H$13,'Minimize the Maximum Distance'!$D$15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0" hidden="1">2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bd" localSheetId="0" hidden="1">2</definedName>
    <definedName name="solver_ibd" localSheetId="1" hidden="1">2</definedName>
    <definedName name="solver_ibd" localSheetId="2" hidden="1">2</definedName>
    <definedName name="solver_ibd" localSheetId="3" hidden="1">2</definedName>
    <definedName name="solver_itr" localSheetId="0" hidden="1">2147483647</definedName>
    <definedName name="solver_itr" localSheetId="1" hidden="1">100</definedName>
    <definedName name="solver_itr" localSheetId="2" hidden="1">100</definedName>
    <definedName name="solver_itr" localSheetId="3" hidden="1">100</definedName>
    <definedName name="solver_lhs1" localSheetId="0" hidden="1">'Allocation-Lacation'!$E$4:$E$13</definedName>
    <definedName name="solver_lhs1" localSheetId="1" hidden="1">'Maximize Minimum Distance'!$I$4:$J$13</definedName>
    <definedName name="solver_lhs1" localSheetId="2" hidden="1">'Minimize Rectilinear Distance'!$E$4:$E$13</definedName>
    <definedName name="solver_lhs1" localSheetId="3" hidden="1">'Minimize the Maximum Distance'!$E$4:$E$13</definedName>
    <definedName name="solver_lhs2" localSheetId="0" hidden="1">'Allocation-Lacation'!$E$4:$E$13</definedName>
    <definedName name="solver_lhs2" localSheetId="1" hidden="1">'Maximize Minimum Distance'!$E$4:$E$13</definedName>
    <definedName name="solver_lhs2" localSheetId="2" hidden="1">'Minimize Rectilinear Distance'!$E$4:$E$13</definedName>
    <definedName name="solver_lhs2" localSheetId="3" hidden="1">'Minimize the Maximum Distance'!$G$4:$G$13</definedName>
    <definedName name="solver_lhs3" localSheetId="0" hidden="1">'Allocation-Lacation'!$F$4:$F$13</definedName>
    <definedName name="solver_lhs3" localSheetId="1" hidden="1">'Maximize Minimum Distance'!$C$14:$D$14</definedName>
    <definedName name="solver_lhs3" localSheetId="2" hidden="1">'Minimize Rectilinear Distance'!$F$4:$F$13</definedName>
    <definedName name="solver_lhs3" localSheetId="3" hidden="1">'Minimize the Maximum Distance'!$G$4:$G$13</definedName>
    <definedName name="solver_lhs4" localSheetId="0" hidden="1">'Allocation-Lacation'!$F$4:$F$13</definedName>
    <definedName name="solver_lhs4" localSheetId="1" hidden="1">'Maximize Minimum Distance'!$G$4:$G$13</definedName>
    <definedName name="solver_lhs4" localSheetId="2" hidden="1">'Minimize Rectilinear Distance'!$F$4:$F$13</definedName>
    <definedName name="solver_lhs4" localSheetId="3" hidden="1">'Minimize the Maximum Distance'!$H$4:$H$13</definedName>
    <definedName name="solver_lhs5" localSheetId="0" hidden="1">'Allocation-Lacation'!$K$4:$L$13</definedName>
    <definedName name="solver_lhs5" localSheetId="1" hidden="1">'Maximize Minimum Distance'!$H$4:$H$13</definedName>
    <definedName name="solver_lhs5" localSheetId="3" hidden="1">'Minimize the Maximum Distance'!$H$4:$H$13</definedName>
    <definedName name="solver_lhs6" localSheetId="0" hidden="1">'Allocation-Lacation'!$N$4:$N$13</definedName>
    <definedName name="solver_lhs6" localSheetId="1" hidden="1">'Maximize Minimum Distance'!$G$4:$G$13</definedName>
    <definedName name="solver_lhs7" localSheetId="1" hidden="1">'Maximize Minimum Distance'!$H$4:$H$13</definedName>
    <definedName name="solver_lin" localSheetId="0" hidden="1">1</definedName>
    <definedName name="solver_lin" localSheetId="1" hidden="1">1</definedName>
    <definedName name="solver_lin" localSheetId="2" hidden="1">1</definedName>
    <definedName name="solver_lin" localSheetId="3" hidden="1">1</definedName>
    <definedName name="solver_lva" localSheetId="0" hidden="1">2</definedName>
    <definedName name="solver_lva" localSheetId="1" hidden="1">2</definedName>
    <definedName name="solver_lva" localSheetId="2" hidden="1">2</definedName>
    <definedName name="solver_lva" localSheetId="3" hidden="1">2</definedName>
    <definedName name="solver_mip" localSheetId="0" hidden="1">2147483647</definedName>
    <definedName name="solver_mip" localSheetId="1" hidden="1">5000</definedName>
    <definedName name="solver_mip" localSheetId="2" hidden="1">5000</definedName>
    <definedName name="solver_mip" localSheetId="3" hidden="1">5000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0" hidden="1">2147483647</definedName>
    <definedName name="solver_nod" localSheetId="1" hidden="1">5000</definedName>
    <definedName name="solver_nod" localSheetId="2" hidden="1">5000</definedName>
    <definedName name="solver_nod" localSheetId="3" hidden="1">5000</definedName>
    <definedName name="solver_num" localSheetId="0" hidden="1">6</definedName>
    <definedName name="solver_num" localSheetId="1" hidden="1">7</definedName>
    <definedName name="solver_num" localSheetId="2" hidden="1">4</definedName>
    <definedName name="solver_num" localSheetId="3" hidden="1">5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fx" localSheetId="0" hidden="1">2</definedName>
    <definedName name="solver_ofx" localSheetId="1" hidden="1">2</definedName>
    <definedName name="solver_ofx" localSheetId="2" hidden="1">2</definedName>
    <definedName name="solver_ofx" localSheetId="3" hidden="1">2</definedName>
    <definedName name="solver_opt" localSheetId="0" hidden="1">'Allocation-Lacation'!$D$16</definedName>
    <definedName name="solver_opt" localSheetId="1" hidden="1">'Maximize Minimum Distance'!$D$15</definedName>
    <definedName name="solver_opt" localSheetId="2" hidden="1">'Minimize Rectilinear Distance'!$D$15</definedName>
    <definedName name="solver_opt" localSheetId="3" hidden="1">'Minimize the Maximum Distance'!$D$15</definedName>
    <definedName name="solver_piv" localSheetId="0" hidden="1">0.000001</definedName>
    <definedName name="solver_piv" localSheetId="1" hidden="1">0.000001</definedName>
    <definedName name="solver_piv" localSheetId="2" hidden="1">0.000001</definedName>
    <definedName name="solver_piv" localSheetId="3" hidden="1">0.000001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o" localSheetId="0" hidden="1">2</definedName>
    <definedName name="solver_pro" localSheetId="1" hidden="1">2</definedName>
    <definedName name="solver_pro" localSheetId="2" hidden="1">2</definedName>
    <definedName name="solver_pro" localSheetId="3" hidden="1">2</definedName>
    <definedName name="solver_rbv" localSheetId="0" hidden="1">2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d" localSheetId="0" hidden="1">0.000001</definedName>
    <definedName name="solver_red" localSheetId="1" hidden="1">0.000001</definedName>
    <definedName name="solver_red" localSheetId="2" hidden="1">0.000001</definedName>
    <definedName name="solver_red" localSheetId="3" hidden="1">0.000001</definedName>
    <definedName name="solver_rel1" localSheetId="0" hidden="1">3</definedName>
    <definedName name="solver_rel1" localSheetId="1" hidden="1">5</definedName>
    <definedName name="solver_rel1" localSheetId="2" hidden="1">3</definedName>
    <definedName name="solver_rel1" localSheetId="3" hidden="1">3</definedName>
    <definedName name="solver_rel2" localSheetId="0" hidden="1">3</definedName>
    <definedName name="solver_rel2" localSheetId="1" hidden="1">1</definedName>
    <definedName name="solver_rel2" localSheetId="2" hidden="1">3</definedName>
    <definedName name="solver_rel2" localSheetId="3" hidden="1">3</definedName>
    <definedName name="solver_rel3" localSheetId="0" hidden="1">3</definedName>
    <definedName name="solver_rel3" localSheetId="1" hidden="1">1</definedName>
    <definedName name="solver_rel3" localSheetId="2" hidden="1">3</definedName>
    <definedName name="solver_rel3" localSheetId="3" hidden="1">3</definedName>
    <definedName name="solver_rel4" localSheetId="0" hidden="1">3</definedName>
    <definedName name="solver_rel4" localSheetId="1" hidden="1">1</definedName>
    <definedName name="solver_rel4" localSheetId="2" hidden="1">3</definedName>
    <definedName name="solver_rel4" localSheetId="3" hidden="1">3</definedName>
    <definedName name="solver_rel5" localSheetId="0" hidden="1">4</definedName>
    <definedName name="solver_rel5" localSheetId="1" hidden="1">1</definedName>
    <definedName name="solver_rel5" localSheetId="3" hidden="1">3</definedName>
    <definedName name="solver_rel6" localSheetId="0" hidden="1">2</definedName>
    <definedName name="solver_rel6" localSheetId="1" hidden="1">1</definedName>
    <definedName name="solver_rel7" localSheetId="1" hidden="1">1</definedName>
    <definedName name="solver_reo" localSheetId="0" hidden="1">2</definedName>
    <definedName name="solver_reo" localSheetId="1" hidden="1">2</definedName>
    <definedName name="solver_reo" localSheetId="2" hidden="1">2</definedName>
    <definedName name="solver_reo" localSheetId="3" hidden="1">2</definedName>
    <definedName name="solver_rep" localSheetId="0" hidden="1">2</definedName>
    <definedName name="solver_rep" localSheetId="1" hidden="1">2</definedName>
    <definedName name="solver_rep" localSheetId="2" hidden="1">2</definedName>
    <definedName name="solver_rep" localSheetId="3" hidden="1">2</definedName>
    <definedName name="solver_rhs1" localSheetId="0" hidden="1">'Allocation-Lacation'!$G$4:$G$13</definedName>
    <definedName name="solver_rhs1" localSheetId="1" hidden="1">二进制</definedName>
    <definedName name="solver_rhs1" localSheetId="2" hidden="1">'Minimize Rectilinear Distance'!$G$4:$G$13</definedName>
    <definedName name="solver_rhs1" localSheetId="3" hidden="1">'Minimize the Maximum Distance'!$F$4:$F$13</definedName>
    <definedName name="solver_rhs2" localSheetId="0" hidden="1">'Allocation-Lacation'!$H$4:$H$13</definedName>
    <definedName name="solver_rhs2" localSheetId="1" hidden="1">'Maximize Minimum Distance'!$F$4:$F$13</definedName>
    <definedName name="solver_rhs2" localSheetId="2" hidden="1">'Minimize Rectilinear Distance'!$H$4:$H$13</definedName>
    <definedName name="solver_rhs2" localSheetId="3" hidden="1">'Minimize the Maximum Distance'!$I$4:$I$13</definedName>
    <definedName name="solver_rhs3" localSheetId="0" hidden="1">'Allocation-Lacation'!$I$4:$I$13</definedName>
    <definedName name="solver_rhs3" localSheetId="1" hidden="1">10</definedName>
    <definedName name="solver_rhs3" localSheetId="2" hidden="1">'Minimize Rectilinear Distance'!$I$4:$I$13</definedName>
    <definedName name="solver_rhs3" localSheetId="3" hidden="1">'Minimize the Maximum Distance'!$J$4:$J$13</definedName>
    <definedName name="solver_rhs4" localSheetId="0" hidden="1">'Allocation-Lacation'!$J$4:$J$13</definedName>
    <definedName name="solver_rhs4" localSheetId="1" hidden="1">'Maximize Minimum Distance'!$L$4:$L$13</definedName>
    <definedName name="solver_rhs4" localSheetId="2" hidden="1">'Minimize Rectilinear Distance'!$J$4:$J$13</definedName>
    <definedName name="solver_rhs4" localSheetId="3" hidden="1">'Minimize the Maximum Distance'!$K$4:$K$13</definedName>
    <definedName name="solver_rhs5" localSheetId="0" hidden="1">"整数"</definedName>
    <definedName name="solver_rhs5" localSheetId="1" hidden="1">'Maximize Minimum Distance'!$M$4:$M$13</definedName>
    <definedName name="solver_rhs5" localSheetId="3" hidden="1">'Minimize the Maximum Distance'!$L$4:$L$13</definedName>
    <definedName name="solver_rhs6" localSheetId="0" hidden="1">'Allocation-Lacation'!$O$4:$O$13</definedName>
    <definedName name="solver_rhs6" localSheetId="1" hidden="1">'Maximize Minimum Distance'!$K$4:$K$13</definedName>
    <definedName name="solver_rhs7" localSheetId="1" hidden="1">'Maximize Minimum Distance'!$N$4:$N$13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0" hidden="1">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td" localSheetId="0" hidden="1">1</definedName>
    <definedName name="solver_std" localSheetId="1" hidden="1">1</definedName>
    <definedName name="solver_std" localSheetId="2" hidden="1">1</definedName>
    <definedName name="solver_std" localSheetId="3" hidden="1">1</definedName>
    <definedName name="solver_tim" localSheetId="0" hidden="1">2147483647</definedName>
    <definedName name="solver_tim" localSheetId="1" hidden="1">100</definedName>
    <definedName name="solver_tim" localSheetId="2" hidden="1">100</definedName>
    <definedName name="solver_tim" localSheetId="3" hidden="1">100</definedName>
    <definedName name="solver_tol" localSheetId="0" hidden="1">0.0005</definedName>
    <definedName name="solver_tol" localSheetId="1" hidden="1">0.0005</definedName>
    <definedName name="solver_tol" localSheetId="2" hidden="1">0.0005</definedName>
    <definedName name="solver_tol" localSheetId="3" hidden="1">0.0005</definedName>
    <definedName name="solver_typ" localSheetId="0" hidden="1">2</definedName>
    <definedName name="solver_typ" localSheetId="1" hidden="1">1</definedName>
    <definedName name="solver_typ" localSheetId="2" hidden="1">2</definedName>
    <definedName name="solver_typ" localSheetId="3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X" localSheetId="0">'Allocation-Lacation'!$C$4:$C$14</definedName>
    <definedName name="X">'Minimize Rectilinear Distance'!$C$4:$C$14</definedName>
    <definedName name="Xdist" localSheetId="0">'Allocation-Lacation'!$E$4:$E$14</definedName>
    <definedName name="Xdist">'Minimize Rectilinear Distance'!$E$4:$E$14</definedName>
    <definedName name="Y" localSheetId="0">'Allocation-Lacation'!$D$4:$D$14</definedName>
    <definedName name="Y">'Minimize Rectilinear Distance'!$D$4:$D$14</definedName>
    <definedName name="Ydist" localSheetId="0">'Allocation-Lacation'!$F$4:$F$14</definedName>
    <definedName name="Ydist">'Minimize Rectilinear Distance'!$F$4:$F$14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5" l="1"/>
  <c r="E16" i="5"/>
  <c r="L9" i="4"/>
  <c r="I5" i="5"/>
  <c r="J5" i="5" s="1"/>
  <c r="I6" i="5"/>
  <c r="J6" i="5" s="1"/>
  <c r="I7" i="5"/>
  <c r="J7" i="5" s="1"/>
  <c r="I8" i="5"/>
  <c r="J8" i="5" s="1"/>
  <c r="I9" i="5"/>
  <c r="J9" i="5" s="1"/>
  <c r="I10" i="5"/>
  <c r="J10" i="5" s="1"/>
  <c r="I11" i="5"/>
  <c r="J11" i="5" s="1"/>
  <c r="I12" i="5"/>
  <c r="J12" i="5" s="1"/>
  <c r="I13" i="5"/>
  <c r="J13" i="5" s="1"/>
  <c r="I4" i="5"/>
  <c r="J4" i="5" s="1"/>
  <c r="G5" i="5"/>
  <c r="H5" i="5" s="1"/>
  <c r="G6" i="5"/>
  <c r="H6" i="5" s="1"/>
  <c r="G7" i="5"/>
  <c r="H7" i="5" s="1"/>
  <c r="G8" i="5"/>
  <c r="H8" i="5" s="1"/>
  <c r="G9" i="5"/>
  <c r="H9" i="5" s="1"/>
  <c r="G10" i="5"/>
  <c r="H10" i="5" s="1"/>
  <c r="G11" i="5"/>
  <c r="H11" i="5" s="1"/>
  <c r="G12" i="5"/>
  <c r="H12" i="5" s="1"/>
  <c r="G13" i="5"/>
  <c r="H13" i="5" s="1"/>
  <c r="G4" i="5"/>
  <c r="H4" i="5" s="1"/>
  <c r="G4" i="1"/>
  <c r="N5" i="5"/>
  <c r="N6" i="5"/>
  <c r="N7" i="5"/>
  <c r="N8" i="5"/>
  <c r="N9" i="5"/>
  <c r="N10" i="5"/>
  <c r="N11" i="5"/>
  <c r="N12" i="5"/>
  <c r="N13" i="5"/>
  <c r="N4" i="5"/>
  <c r="E5" i="4"/>
  <c r="E6" i="4"/>
  <c r="E7" i="4"/>
  <c r="E8" i="4"/>
  <c r="E9" i="4"/>
  <c r="E10" i="4"/>
  <c r="E11" i="4"/>
  <c r="E12" i="4"/>
  <c r="E13" i="4"/>
  <c r="E4" i="4"/>
  <c r="K5" i="4"/>
  <c r="L5" i="4"/>
  <c r="M5" i="4"/>
  <c r="N5" i="4"/>
  <c r="K6" i="4"/>
  <c r="L6" i="4"/>
  <c r="M6" i="4"/>
  <c r="N6" i="4"/>
  <c r="K7" i="4"/>
  <c r="L7" i="4"/>
  <c r="M7" i="4"/>
  <c r="N7" i="4"/>
  <c r="K8" i="4"/>
  <c r="L8" i="4"/>
  <c r="M8" i="4"/>
  <c r="N8" i="4"/>
  <c r="K9" i="4"/>
  <c r="M9" i="4"/>
  <c r="N9" i="4"/>
  <c r="K10" i="4"/>
  <c r="L10" i="4"/>
  <c r="M10" i="4"/>
  <c r="N10" i="4"/>
  <c r="K11" i="4"/>
  <c r="L11" i="4"/>
  <c r="M11" i="4"/>
  <c r="N11" i="4"/>
  <c r="K12" i="4"/>
  <c r="L12" i="4"/>
  <c r="M12" i="4"/>
  <c r="N12" i="4"/>
  <c r="K13" i="4"/>
  <c r="L13" i="4"/>
  <c r="M13" i="4"/>
  <c r="N13" i="4"/>
  <c r="N4" i="4"/>
  <c r="M4" i="4"/>
  <c r="L4" i="4"/>
  <c r="K4" i="4"/>
  <c r="F5" i="4"/>
  <c r="F6" i="4"/>
  <c r="F7" i="4"/>
  <c r="F8" i="4"/>
  <c r="F9" i="4"/>
  <c r="F10" i="4"/>
  <c r="F11" i="4"/>
  <c r="F12" i="4"/>
  <c r="F13" i="4"/>
  <c r="F4" i="4"/>
  <c r="F15" i="1"/>
  <c r="E15" i="1"/>
  <c r="J5" i="1"/>
  <c r="J6" i="1"/>
  <c r="J7" i="1"/>
  <c r="J8" i="1"/>
  <c r="J9" i="1"/>
  <c r="J10" i="1"/>
  <c r="J11" i="1"/>
  <c r="J12" i="1"/>
  <c r="J13" i="1"/>
  <c r="J4" i="1"/>
  <c r="I5" i="1"/>
  <c r="I6" i="1"/>
  <c r="I7" i="1"/>
  <c r="I8" i="1"/>
  <c r="I9" i="1"/>
  <c r="I10" i="1"/>
  <c r="I11" i="1"/>
  <c r="I12" i="1"/>
  <c r="I13" i="1"/>
  <c r="I4" i="1"/>
  <c r="H5" i="1"/>
  <c r="H6" i="1"/>
  <c r="H7" i="1"/>
  <c r="H8" i="1"/>
  <c r="H9" i="1"/>
  <c r="H10" i="1"/>
  <c r="H11" i="1"/>
  <c r="H12" i="1"/>
  <c r="H13" i="1"/>
  <c r="H4" i="1"/>
  <c r="G5" i="1"/>
  <c r="G6" i="1"/>
  <c r="G7" i="1"/>
  <c r="G8" i="1"/>
  <c r="G9" i="1"/>
  <c r="G10" i="1"/>
  <c r="G11" i="1"/>
  <c r="G12" i="1"/>
  <c r="G13" i="1"/>
  <c r="E5" i="2"/>
  <c r="E4" i="2"/>
  <c r="L5" i="2"/>
  <c r="L6" i="2"/>
  <c r="L7" i="2"/>
  <c r="L8" i="2"/>
  <c r="L9" i="2"/>
  <c r="L10" i="2"/>
  <c r="L11" i="2"/>
  <c r="L12" i="2"/>
  <c r="L13" i="2"/>
  <c r="L4" i="2"/>
  <c r="K5" i="2"/>
  <c r="K6" i="2"/>
  <c r="K7" i="2"/>
  <c r="K8" i="2"/>
  <c r="K9" i="2"/>
  <c r="K10" i="2"/>
  <c r="K11" i="2"/>
  <c r="K12" i="2"/>
  <c r="K13" i="2"/>
  <c r="K4" i="2"/>
  <c r="J5" i="2"/>
  <c r="J6" i="2"/>
  <c r="J7" i="2"/>
  <c r="J8" i="2"/>
  <c r="J9" i="2"/>
  <c r="J10" i="2"/>
  <c r="J11" i="2"/>
  <c r="J12" i="2"/>
  <c r="J13" i="2"/>
  <c r="J4" i="2"/>
  <c r="I5" i="2"/>
  <c r="I6" i="2"/>
  <c r="I7" i="2"/>
  <c r="I8" i="2"/>
  <c r="I9" i="2"/>
  <c r="I10" i="2"/>
  <c r="I11" i="2"/>
  <c r="I12" i="2"/>
  <c r="I13" i="2"/>
  <c r="I4" i="2"/>
  <c r="E6" i="2"/>
  <c r="E7" i="2"/>
  <c r="E8" i="2"/>
  <c r="E9" i="2"/>
  <c r="E10" i="2"/>
  <c r="E11" i="2"/>
  <c r="E12" i="2"/>
  <c r="E13" i="2"/>
  <c r="F5" i="2"/>
  <c r="F6" i="2"/>
  <c r="F7" i="2"/>
  <c r="F8" i="2"/>
  <c r="F9" i="2"/>
  <c r="F10" i="2"/>
  <c r="F11" i="2"/>
  <c r="F12" i="2"/>
  <c r="F13" i="2"/>
  <c r="F4" i="2"/>
  <c r="C13" i="3"/>
  <c r="E9" i="3" s="1"/>
  <c r="F9" i="3" s="1"/>
  <c r="D13" i="3"/>
  <c r="E12" i="3"/>
  <c r="F12" i="3" s="1"/>
  <c r="E4" i="3"/>
  <c r="F4" i="3" s="1"/>
  <c r="E11" i="3"/>
  <c r="F11" i="3" s="1"/>
  <c r="D15" i="1" l="1"/>
  <c r="D16" i="5"/>
  <c r="E5" i="3"/>
  <c r="F5" i="3" s="1"/>
  <c r="E3" i="3"/>
  <c r="E6" i="3"/>
  <c r="F6" i="3" s="1"/>
  <c r="E10" i="3"/>
  <c r="F10" i="3" s="1"/>
  <c r="E8" i="3"/>
  <c r="F8" i="3" s="1"/>
  <c r="E7" i="3"/>
  <c r="F7" i="3" s="1"/>
  <c r="F3" i="3" l="1"/>
  <c r="E13" i="3"/>
  <c r="F13" i="3" l="1"/>
  <c r="C14" i="3"/>
  <c r="D14" i="3"/>
  <c r="G8" i="3" l="1"/>
  <c r="H8" i="3" s="1"/>
  <c r="G5" i="3"/>
  <c r="H5" i="3" s="1"/>
  <c r="G12" i="3"/>
  <c r="H12" i="3" s="1"/>
  <c r="G9" i="3"/>
  <c r="H9" i="3" s="1"/>
  <c r="G4" i="3"/>
  <c r="H4" i="3" s="1"/>
  <c r="G6" i="3"/>
  <c r="H6" i="3" s="1"/>
  <c r="G11" i="3"/>
  <c r="H11" i="3" s="1"/>
  <c r="G3" i="3"/>
  <c r="G7" i="3"/>
  <c r="H7" i="3" s="1"/>
  <c r="G10" i="3"/>
  <c r="H10" i="3" s="1"/>
  <c r="H3" i="3" l="1"/>
  <c r="E14" i="3"/>
  <c r="C15" i="3" l="1"/>
  <c r="H13" i="3"/>
  <c r="D15" i="3" s="1"/>
  <c r="I11" i="3" l="1"/>
  <c r="J11" i="3" s="1"/>
  <c r="I12" i="3"/>
  <c r="J12" i="3" s="1"/>
  <c r="I7" i="3"/>
  <c r="J7" i="3" s="1"/>
  <c r="I10" i="3"/>
  <c r="J10" i="3" s="1"/>
  <c r="I4" i="3"/>
  <c r="J4" i="3" s="1"/>
  <c r="I6" i="3"/>
  <c r="J6" i="3" s="1"/>
  <c r="I5" i="3"/>
  <c r="J5" i="3" s="1"/>
  <c r="I3" i="3"/>
  <c r="I9" i="3"/>
  <c r="J9" i="3" s="1"/>
  <c r="I8" i="3"/>
  <c r="J8" i="3" s="1"/>
  <c r="E15" i="3" l="1"/>
  <c r="J3" i="3"/>
  <c r="J13" i="3" l="1"/>
  <c r="C16" i="3"/>
  <c r="D16" i="3"/>
  <c r="K11" i="3" l="1"/>
  <c r="L11" i="3" s="1"/>
  <c r="K9" i="3"/>
  <c r="L9" i="3" s="1"/>
  <c r="K8" i="3"/>
  <c r="L8" i="3" s="1"/>
  <c r="K12" i="3"/>
  <c r="L12" i="3" s="1"/>
  <c r="K3" i="3"/>
  <c r="K6" i="3"/>
  <c r="L6" i="3" s="1"/>
  <c r="K5" i="3"/>
  <c r="L5" i="3" s="1"/>
  <c r="K7" i="3"/>
  <c r="L7" i="3" s="1"/>
  <c r="K10" i="3"/>
  <c r="L10" i="3" s="1"/>
  <c r="K4" i="3"/>
  <c r="L4" i="3" s="1"/>
  <c r="E16" i="3" l="1"/>
  <c r="L3" i="3"/>
  <c r="L13" i="3" l="1"/>
  <c r="C17" i="3"/>
  <c r="D17" i="3"/>
  <c r="M7" i="3" l="1"/>
  <c r="N7" i="3" s="1"/>
  <c r="M4" i="3"/>
  <c r="N4" i="3" s="1"/>
  <c r="M8" i="3"/>
  <c r="N8" i="3" s="1"/>
  <c r="M6" i="3"/>
  <c r="N6" i="3" s="1"/>
  <c r="M3" i="3"/>
  <c r="M11" i="3"/>
  <c r="N11" i="3" s="1"/>
  <c r="M10" i="3"/>
  <c r="N10" i="3" s="1"/>
  <c r="M5" i="3"/>
  <c r="N5" i="3" s="1"/>
  <c r="M9" i="3"/>
  <c r="N9" i="3" s="1"/>
  <c r="M12" i="3"/>
  <c r="N12" i="3" s="1"/>
  <c r="N3" i="3" l="1"/>
  <c r="E17" i="3"/>
  <c r="N13" i="3" l="1"/>
  <c r="C18" i="3" s="1"/>
  <c r="D18" i="3" l="1"/>
  <c r="O9" i="3" s="1"/>
  <c r="P9" i="3" s="1"/>
  <c r="O4" i="3" l="1"/>
  <c r="P4" i="3" s="1"/>
  <c r="O6" i="3"/>
  <c r="P6" i="3" s="1"/>
  <c r="O11" i="3"/>
  <c r="P11" i="3" s="1"/>
  <c r="O8" i="3"/>
  <c r="P8" i="3" s="1"/>
  <c r="O3" i="3"/>
  <c r="O10" i="3"/>
  <c r="P10" i="3" s="1"/>
  <c r="O5" i="3"/>
  <c r="P5" i="3" s="1"/>
  <c r="O7" i="3"/>
  <c r="P7" i="3" s="1"/>
  <c r="O12" i="3"/>
  <c r="P12" i="3" s="1"/>
  <c r="P3" i="3" l="1"/>
  <c r="E18" i="3"/>
  <c r="P13" i="3" l="1"/>
  <c r="C19" i="3" s="1"/>
  <c r="D19" i="3"/>
  <c r="Q5" i="3" l="1"/>
  <c r="R5" i="3" s="1"/>
  <c r="Q7" i="3"/>
  <c r="R7" i="3" s="1"/>
  <c r="Q10" i="3"/>
  <c r="R10" i="3" s="1"/>
  <c r="Q4" i="3"/>
  <c r="R4" i="3" s="1"/>
  <c r="Q12" i="3"/>
  <c r="R12" i="3" s="1"/>
  <c r="Q11" i="3"/>
  <c r="R11" i="3" s="1"/>
  <c r="Q9" i="3"/>
  <c r="R9" i="3" s="1"/>
  <c r="Q3" i="3"/>
  <c r="Q8" i="3"/>
  <c r="R8" i="3" s="1"/>
  <c r="Q6" i="3"/>
  <c r="R6" i="3" s="1"/>
  <c r="E19" i="3" l="1"/>
  <c r="R3" i="3"/>
  <c r="R13" i="3" l="1"/>
  <c r="C20" i="3"/>
  <c r="D20" i="3"/>
  <c r="S5" i="3" l="1"/>
  <c r="T5" i="3" s="1"/>
  <c r="S8" i="3"/>
  <c r="T8" i="3" s="1"/>
  <c r="S12" i="3"/>
  <c r="T12" i="3" s="1"/>
  <c r="S7" i="3"/>
  <c r="T7" i="3" s="1"/>
  <c r="S6" i="3"/>
  <c r="T6" i="3" s="1"/>
  <c r="S3" i="3"/>
  <c r="S11" i="3"/>
  <c r="T11" i="3" s="1"/>
  <c r="S9" i="3"/>
  <c r="T9" i="3" s="1"/>
  <c r="S10" i="3"/>
  <c r="T10" i="3" s="1"/>
  <c r="S4" i="3"/>
  <c r="T4" i="3" s="1"/>
  <c r="E20" i="3" l="1"/>
  <c r="T3" i="3"/>
  <c r="T13" i="3" l="1"/>
  <c r="C21" i="3" s="1"/>
  <c r="D21" i="3"/>
  <c r="U10" i="3" l="1"/>
  <c r="V10" i="3" s="1"/>
  <c r="U3" i="3"/>
  <c r="U8" i="3"/>
  <c r="V8" i="3" s="1"/>
  <c r="U9" i="3"/>
  <c r="V9" i="3" s="1"/>
  <c r="U5" i="3"/>
  <c r="V5" i="3" s="1"/>
  <c r="U7" i="3"/>
  <c r="V7" i="3" s="1"/>
  <c r="U6" i="3"/>
  <c r="V6" i="3" s="1"/>
  <c r="U11" i="3"/>
  <c r="V11" i="3" s="1"/>
  <c r="U4" i="3"/>
  <c r="V4" i="3" s="1"/>
  <c r="U12" i="3"/>
  <c r="V12" i="3" s="1"/>
  <c r="V3" i="3" l="1"/>
  <c r="E21" i="3"/>
  <c r="V13" i="3" l="1"/>
  <c r="C22" i="3" s="1"/>
  <c r="D22" i="3" l="1"/>
  <c r="W5" i="3" s="1"/>
  <c r="X5" i="3" s="1"/>
  <c r="W12" i="3" l="1"/>
  <c r="X12" i="3" s="1"/>
  <c r="W4" i="3"/>
  <c r="X4" i="3" s="1"/>
  <c r="W11" i="3"/>
  <c r="X11" i="3" s="1"/>
  <c r="W10" i="3"/>
  <c r="X10" i="3" s="1"/>
  <c r="W7" i="3"/>
  <c r="X7" i="3" s="1"/>
  <c r="W8" i="3"/>
  <c r="X8" i="3" s="1"/>
  <c r="W6" i="3"/>
  <c r="X6" i="3" s="1"/>
  <c r="W3" i="3"/>
  <c r="W9" i="3"/>
  <c r="X9" i="3" s="1"/>
  <c r="X3" i="3" l="1"/>
  <c r="E22" i="3"/>
  <c r="X13" i="3" l="1"/>
  <c r="D23" i="3"/>
  <c r="C23" i="3"/>
  <c r="Y3" i="3" l="1"/>
  <c r="Y8" i="3"/>
  <c r="Z8" i="3" s="1"/>
  <c r="Y9" i="3"/>
  <c r="Z9" i="3" s="1"/>
  <c r="Y5" i="3"/>
  <c r="Z5" i="3" s="1"/>
  <c r="Y7" i="3"/>
  <c r="Z7" i="3" s="1"/>
  <c r="Y6" i="3"/>
  <c r="Z6" i="3" s="1"/>
  <c r="Y11" i="3"/>
  <c r="Z11" i="3" s="1"/>
  <c r="Y4" i="3"/>
  <c r="Z4" i="3" s="1"/>
  <c r="Y12" i="3"/>
  <c r="Z12" i="3" s="1"/>
  <c r="Y10" i="3"/>
  <c r="Z10" i="3" s="1"/>
  <c r="Z3" i="3" l="1"/>
  <c r="E23" i="3"/>
  <c r="Z13" i="3" l="1"/>
  <c r="C24" i="3" s="1"/>
  <c r="D24" i="3"/>
  <c r="AA9" i="3" l="1"/>
  <c r="AB9" i="3" s="1"/>
  <c r="AA8" i="3"/>
  <c r="AB8" i="3" s="1"/>
  <c r="AA6" i="3"/>
  <c r="AB6" i="3" s="1"/>
  <c r="AA5" i="3"/>
  <c r="AB5" i="3" s="1"/>
  <c r="AA11" i="3"/>
  <c r="AB11" i="3" s="1"/>
  <c r="AA3" i="3"/>
  <c r="AA10" i="3"/>
  <c r="AB10" i="3" s="1"/>
  <c r="AA12" i="3"/>
  <c r="AB12" i="3" s="1"/>
  <c r="AA7" i="3"/>
  <c r="AB7" i="3" s="1"/>
  <c r="AA4" i="3"/>
  <c r="AB4" i="3" s="1"/>
  <c r="AB3" i="3" l="1"/>
  <c r="E24" i="3"/>
  <c r="AB13" i="3" l="1"/>
  <c r="D25" i="3" s="1"/>
  <c r="C25" i="3"/>
  <c r="AC8" i="3" l="1"/>
  <c r="AD8" i="3" s="1"/>
  <c r="AC3" i="3"/>
  <c r="AC6" i="3"/>
  <c r="AD6" i="3" s="1"/>
  <c r="AC9" i="3"/>
  <c r="AD9" i="3" s="1"/>
  <c r="AC5" i="3"/>
  <c r="AD5" i="3" s="1"/>
  <c r="AC7" i="3"/>
  <c r="AD7" i="3" s="1"/>
  <c r="AC11" i="3"/>
  <c r="AD11" i="3" s="1"/>
  <c r="AC10" i="3"/>
  <c r="AD10" i="3" s="1"/>
  <c r="AC4" i="3"/>
  <c r="AD4" i="3" s="1"/>
  <c r="AC12" i="3"/>
  <c r="AD12" i="3" s="1"/>
  <c r="AD3" i="3" l="1"/>
  <c r="E25" i="3"/>
  <c r="AD13" i="3" l="1"/>
  <c r="C26" i="3"/>
  <c r="D26" i="3"/>
  <c r="AE8" i="3" l="1"/>
  <c r="AF8" i="3" s="1"/>
  <c r="AE6" i="3"/>
  <c r="AF6" i="3" s="1"/>
  <c r="AE9" i="3"/>
  <c r="AF9" i="3" s="1"/>
  <c r="AE7" i="3"/>
  <c r="AF7" i="3" s="1"/>
  <c r="AE4" i="3"/>
  <c r="AF4" i="3" s="1"/>
  <c r="AE11" i="3"/>
  <c r="AF11" i="3" s="1"/>
  <c r="AE3" i="3"/>
  <c r="AE10" i="3"/>
  <c r="AF10" i="3" s="1"/>
  <c r="AE12" i="3"/>
  <c r="AF12" i="3" s="1"/>
  <c r="AE5" i="3"/>
  <c r="AF5" i="3" s="1"/>
  <c r="AF3" i="3" l="1"/>
  <c r="E26" i="3"/>
  <c r="AF13" i="3" l="1"/>
  <c r="C27" i="3" s="1"/>
  <c r="D27" i="3"/>
  <c r="D30" i="3" s="1"/>
  <c r="AG5" i="3" l="1"/>
  <c r="AG3" i="3"/>
  <c r="AG6" i="3"/>
  <c r="AG12" i="3"/>
  <c r="AG4" i="3"/>
  <c r="AG7" i="3"/>
  <c r="AG9" i="3"/>
  <c r="AG10" i="3"/>
  <c r="AG11" i="3"/>
  <c r="AG8" i="3"/>
  <c r="C30" i="3"/>
  <c r="E27" i="3" l="1"/>
</calcChain>
</file>

<file path=xl/sharedStrings.xml><?xml version="1.0" encoding="utf-8"?>
<sst xmlns="http://schemas.openxmlformats.org/spreadsheetml/2006/main" count="110" uniqueCount="38">
  <si>
    <t>Customer</t>
  </si>
  <si>
    <t>X</t>
  </si>
  <si>
    <t>Y</t>
  </si>
  <si>
    <t>Facility</t>
  </si>
  <si>
    <t>Xdist</t>
  </si>
  <si>
    <t>Ydist</t>
  </si>
  <si>
    <t>If Left</t>
  </si>
  <si>
    <t>If Right</t>
  </si>
  <si>
    <t>If Above</t>
  </si>
  <si>
    <t>If Below</t>
  </si>
  <si>
    <t>Total</t>
  </si>
  <si>
    <t>d(x,y)</t>
  </si>
  <si>
    <t>1/d(x,y)</t>
  </si>
  <si>
    <t>Max</t>
  </si>
  <si>
    <t>Cust.</t>
  </si>
  <si>
    <t>Minimize the sum of Rectilinear distances to customers</t>
  </si>
  <si>
    <t>Mimimize the Maximum Rectilinear Distance</t>
  </si>
  <si>
    <t>Left?</t>
  </si>
  <si>
    <t>Above?</t>
  </si>
  <si>
    <t>Min</t>
  </si>
  <si>
    <t>Maximize the Minimun Rectilinear Distance:Nimby</t>
    <phoneticPr fontId="0" type="noConversion"/>
  </si>
  <si>
    <r>
      <t>若按</t>
    </r>
    <r>
      <rPr>
        <sz val="10"/>
        <rFont val="Arial"/>
        <family val="2"/>
      </rPr>
      <t>Minimize Rectilinear</t>
    </r>
    <r>
      <rPr>
        <sz val="10"/>
        <rFont val="宋体"/>
        <family val="3"/>
        <charset val="134"/>
      </rPr>
      <t>同样处理，则</t>
    </r>
  </si>
  <si>
    <t>if Left:C4-C14,if Right:C14-C4</t>
  </si>
  <si>
    <t>Total=Xdist+Ydist</t>
  </si>
  <si>
    <t>Max{Min(Total)}</t>
  </si>
  <si>
    <t>将无法求解（发散）</t>
  </si>
  <si>
    <t>Xdist&gt;ifLeft,Xdist&gt;ifRight</t>
    <phoneticPr fontId="0" type="noConversion"/>
  </si>
  <si>
    <t>但若将Xdist&gt;ifLeft,Xdist&gt;ifRight改为Xdist&lt;=ifLeft,Xdist&lt;=ifRight，则又会取成负值</t>
    <phoneticPr fontId="0" type="noConversion"/>
  </si>
  <si>
    <r>
      <t>故考虑加入</t>
    </r>
    <r>
      <rPr>
        <sz val="10"/>
        <rFont val="Arial"/>
        <family val="2"/>
      </rPr>
      <t>Left?</t>
    </r>
    <r>
      <rPr>
        <sz val="10"/>
        <rFont val="宋体"/>
        <family val="3"/>
        <charset val="134"/>
      </rPr>
      <t>变量，并将</t>
    </r>
    <r>
      <rPr>
        <sz val="10"/>
        <rFont val="Arial"/>
        <family val="2"/>
      </rPr>
      <t>ifLeft</t>
    </r>
    <r>
      <rPr>
        <sz val="10"/>
        <rFont val="宋体"/>
        <family val="3"/>
        <charset val="134"/>
      </rPr>
      <t>改为：</t>
    </r>
    <r>
      <rPr>
        <sz val="10"/>
        <rFont val="Arial"/>
        <family val="2"/>
      </rPr>
      <t>C4-$C$14+20*(1-Left?)</t>
    </r>
    <phoneticPr fontId="0" type="noConversion"/>
  </si>
  <si>
    <r>
      <t>Left?</t>
    </r>
    <r>
      <rPr>
        <sz val="10"/>
        <rFont val="宋体"/>
        <family val="3"/>
        <charset val="134"/>
      </rPr>
      <t>取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时表示设施在该点右边，则</t>
    </r>
    <r>
      <rPr>
        <sz val="10"/>
        <rFont val="Arial"/>
        <family val="2"/>
      </rPr>
      <t>Xdist</t>
    </r>
    <r>
      <rPr>
        <sz val="10"/>
        <rFont val="宋体"/>
        <family val="3"/>
        <charset val="134"/>
      </rPr>
      <t>为</t>
    </r>
    <r>
      <rPr>
        <sz val="10"/>
        <rFont val="Arial"/>
        <family val="2"/>
      </rPr>
      <t>C4-C14+20,</t>
    </r>
    <r>
      <rPr>
        <sz val="10"/>
        <rFont val="宋体"/>
        <family val="3"/>
        <charset val="134"/>
      </rPr>
      <t>是一个比</t>
    </r>
    <r>
      <rPr>
        <sz val="10"/>
        <rFont val="Arial"/>
        <family val="2"/>
      </rPr>
      <t>|C4-C14|</t>
    </r>
    <r>
      <rPr>
        <sz val="10"/>
        <rFont val="宋体"/>
        <family val="3"/>
        <charset val="134"/>
      </rPr>
      <t>大的值</t>
    </r>
    <phoneticPr fontId="0" type="noConversion"/>
  </si>
  <si>
    <t>这样就实现了Xdist&lt;=ifLeft,Xdist&lt;=ifRight取到正确距离的目的</t>
    <phoneticPr fontId="0" type="noConversion"/>
  </si>
  <si>
    <t>Facility 1?</t>
    <phoneticPr fontId="4" type="noConversion"/>
  </si>
  <si>
    <t>Facility 2?</t>
    <phoneticPr fontId="4" type="noConversion"/>
  </si>
  <si>
    <t>Facility 3?</t>
    <phoneticPr fontId="4" type="noConversion"/>
  </si>
  <si>
    <t>Locating Several Facilities -Where and whom to serve?</t>
    <phoneticPr fontId="4" type="noConversion"/>
  </si>
  <si>
    <t>Xdist&gt;=ifLeft,Xdist&gt;=ifRight</t>
    <phoneticPr fontId="0" type="noConversion"/>
  </si>
  <si>
    <t>但若将Xdist&gt;=ifLeft,Xdist&gt;=ifRight改为Xdist&lt;=ifLeft,Xdist&lt;=ifRight，则又会取成负值</t>
    <phoneticPr fontId="0" type="noConversion"/>
  </si>
  <si>
    <t>sum_facility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</si>
</sst>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83" formatCode="_(* #,##0.00_);_(* \(#,##0.00\);_(* &quot;-&quot;??_);_(@_)"/>
    <numFmt numFmtId="184" formatCode="0.0"/>
    <numFmt numFmtId="186" formatCode="_(* #,##0_);_(* \(#,##0\);_(* &quot;-&quot;??_);_(@_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83" fontId="1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0" borderId="1" xfId="0" applyFill="1" applyBorder="1"/>
    <xf numFmtId="0" fontId="0" fillId="0" borderId="2" xfId="0" applyFill="1" applyBorder="1"/>
    <xf numFmtId="0" fontId="0" fillId="4" borderId="0" xfId="0" applyFill="1"/>
    <xf numFmtId="0" fontId="0" fillId="4" borderId="0" xfId="0" applyFill="1" applyAlignment="1">
      <alignment horizontal="center"/>
    </xf>
    <xf numFmtId="183" fontId="0" fillId="4" borderId="0" xfId="1" applyFont="1" applyFill="1"/>
    <xf numFmtId="0" fontId="0" fillId="4" borderId="0" xfId="0" applyFill="1" applyAlignment="1">
      <alignment horizontal="right"/>
    </xf>
    <xf numFmtId="0" fontId="2" fillId="4" borderId="0" xfId="0" applyFont="1" applyFill="1"/>
    <xf numFmtId="0" fontId="0" fillId="5" borderId="0" xfId="0" applyFill="1"/>
    <xf numFmtId="183" fontId="3" fillId="6" borderId="0" xfId="1" applyFont="1" applyFill="1"/>
    <xf numFmtId="0" fontId="0" fillId="6" borderId="0" xfId="0" applyFill="1"/>
    <xf numFmtId="183" fontId="3" fillId="5" borderId="0" xfId="1" applyFont="1" applyFill="1"/>
    <xf numFmtId="184" fontId="0" fillId="5" borderId="0" xfId="0" applyNumberFormat="1" applyFill="1"/>
    <xf numFmtId="183" fontId="3" fillId="7" borderId="0" xfId="1" applyFont="1" applyFill="1"/>
    <xf numFmtId="184" fontId="0" fillId="7" borderId="0" xfId="0" applyNumberForma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ont="1" applyFill="1"/>
    <xf numFmtId="186" fontId="3" fillId="7" borderId="0" xfId="1" applyNumberFormat="1" applyFont="1" applyFill="1"/>
    <xf numFmtId="0" fontId="0" fillId="4" borderId="0" xfId="0" applyNumberFormat="1" applyFill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7162511926697"/>
          <c:y val="7.7846985819620657E-2"/>
          <c:w val="0.81358523781515635"/>
          <c:h val="0.7155934465726668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10"/>
            <c:marker>
              <c:symbol val="x"/>
              <c:size val="10"/>
              <c:spPr>
                <a:solidFill>
                  <a:srgbClr val="FFFF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EC86-4C73-A6C9-FAFF0FDA1A4A}"/>
              </c:ext>
            </c:extLst>
          </c:dPt>
          <c:dPt>
            <c:idx val="11"/>
            <c:marker>
              <c:symbol val="x"/>
              <c:size val="10"/>
              <c:spPr>
                <a:solidFill>
                  <a:srgbClr val="FFFF00"/>
                </a:solidFill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3-EC86-4C73-A6C9-FAFF0FDA1A4A}"/>
              </c:ext>
            </c:extLst>
          </c:dPt>
          <c:xVal>
            <c:numRef>
              <c:f>'Allocation-Lacation'!$C$4:$C$15</c:f>
              <c:numCache>
                <c:formatCode>General</c:formatCode>
                <c:ptCount val="12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0</c:v>
                </c:pt>
              </c:numCache>
            </c:numRef>
          </c:xVal>
          <c:yVal>
            <c:numRef>
              <c:f>'Allocation-Lacation'!$D$4:$D$15</c:f>
              <c:numCache>
                <c:formatCode>General</c:formatCode>
                <c:ptCount val="12"/>
                <c:pt idx="0">
                  <c:v>9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</c:v>
                </c:pt>
                <c:pt idx="10">
                  <c:v>2</c:v>
                </c:pt>
                <c:pt idx="1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86-4C73-A6C9-FAFF0FDA1A4A}"/>
            </c:ext>
          </c:extLst>
        </c:ser>
        <c:ser>
          <c:idx val="1"/>
          <c:order val="1"/>
          <c:spPr>
            <a:ln w="19050">
              <a:noFill/>
            </a:ln>
          </c:spPr>
          <c:dPt>
            <c:idx val="0"/>
            <c:marker>
              <c:symbol val="squar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14-EC86-4C73-A6C9-FAFF0FDA1A4A}"/>
              </c:ext>
            </c:extLst>
          </c:dPt>
          <c:dPt>
            <c:idx val="1"/>
            <c:marker>
              <c:symbol val="square"/>
              <c:size val="6"/>
              <c:spPr>
                <a:solidFill>
                  <a:schemeClr val="accent6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C86-4C73-A6C9-FAFF0FDA1A4A}"/>
              </c:ext>
            </c:extLst>
          </c:dPt>
          <c:dPt>
            <c:idx val="2"/>
            <c:marker>
              <c:symbol val="squar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15-EC86-4C73-A6C9-FAFF0FDA1A4A}"/>
              </c:ext>
            </c:extLst>
          </c:dPt>
          <c:dPt>
            <c:idx val="3"/>
            <c:marker>
              <c:spPr>
                <a:solidFill>
                  <a:schemeClr val="accent6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C86-4C73-A6C9-FAFF0FDA1A4A}"/>
              </c:ext>
            </c:extLst>
          </c:dPt>
          <c:dPt>
            <c:idx val="5"/>
            <c:marker>
              <c:spPr>
                <a:solidFill>
                  <a:schemeClr val="accent6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C86-4C73-A6C9-FAFF0FDA1A4A}"/>
              </c:ext>
            </c:extLst>
          </c:dPt>
          <c:xVal>
            <c:numRef>
              <c:f>'Allocation-Lacation'!$O$23:$O$28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</c:numCache>
            </c:numRef>
          </c:xVal>
          <c:yVal>
            <c:numRef>
              <c:f>'Allocation-Lacation'!$P$23:$P$28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9</c:v>
                </c:pt>
                <c:pt idx="4">
                  <c:v>2</c:v>
                </c:pt>
                <c:pt idx="5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C86-4C73-A6C9-FAFF0FDA1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998104"/>
        <c:axId val="1"/>
      </c:scatterChart>
      <c:valAx>
        <c:axId val="6669981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X</a:t>
                </a:r>
              </a:p>
            </c:rich>
          </c:tx>
          <c:layout>
            <c:manualLayout>
              <c:xMode val="edge"/>
              <c:yMode val="edge"/>
              <c:x val="0.53179645401467679"/>
              <c:y val="0.886258144836618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</a:t>
                </a:r>
              </a:p>
            </c:rich>
          </c:tx>
          <c:layout>
            <c:manualLayout>
              <c:xMode val="edge"/>
              <c:yMode val="edge"/>
              <c:x val="3.3899405431463921E-2"/>
              <c:y val="0.416181668256560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6998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69396954330121"/>
          <c:y val="8.4114847128967551E-2"/>
          <c:w val="0.80973493648049477"/>
          <c:h val="0.6729187770317404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10"/>
            <c:marker>
              <c:symbol val="x"/>
              <c:size val="10"/>
              <c:spPr>
                <a:solidFill>
                  <a:srgbClr val="FFFF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3659-42F4-A757-C2D7D0005FED}"/>
              </c:ext>
            </c:extLst>
          </c:dPt>
          <c:xVal>
            <c:numRef>
              <c:f>'Maximize Minimum Distance'!$C$4:$C$14</c:f>
              <c:numCache>
                <c:formatCode>General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3.0000000000000053</c:v>
                </c:pt>
              </c:numCache>
            </c:numRef>
          </c:xVal>
          <c:yVal>
            <c:numRef>
              <c:f>'Maximize Minimum Distance'!$D$4:$D$14</c:f>
              <c:numCache>
                <c:formatCode>General</c:formatCode>
                <c:ptCount val="11"/>
                <c:pt idx="0">
                  <c:v>9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</c:v>
                </c:pt>
                <c:pt idx="10">
                  <c:v>5.0000000000000071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59-42F4-A757-C2D7D0005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997448"/>
        <c:axId val="1"/>
      </c:scatterChart>
      <c:valAx>
        <c:axId val="666997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X</a:t>
                </a:r>
              </a:p>
            </c:rich>
          </c:tx>
          <c:layout>
            <c:manualLayout>
              <c:xMode val="edge"/>
              <c:yMode val="edge"/>
              <c:x val="0.53399799289794658"/>
              <c:y val="0.866071375733565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</a:t>
                </a:r>
              </a:p>
            </c:rich>
          </c:tx>
          <c:layout>
            <c:manualLayout>
              <c:xMode val="edge"/>
              <c:yMode val="edge"/>
              <c:x val="3.1068974834028103E-2"/>
              <c:y val="0.398766787763220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69974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7162511926697"/>
          <c:y val="7.7846985819620657E-2"/>
          <c:w val="0.81358523781515635"/>
          <c:h val="0.7155934465726668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10"/>
            <c:marker>
              <c:symbol val="x"/>
              <c:size val="10"/>
              <c:spPr>
                <a:solidFill>
                  <a:srgbClr val="FFFF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A203-4BFD-ABF8-B35B756D0AD6}"/>
              </c:ext>
            </c:extLst>
          </c:dPt>
          <c:xVal>
            <c:numRef>
              <c:f>'Minimize Rectilinear Distance'!$C$4:$C$14</c:f>
              <c:numCache>
                <c:formatCode>General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</c:numCache>
            </c:numRef>
          </c:xVal>
          <c:yVal>
            <c:numRef>
              <c:f>'Minimize Rectilinear Distance'!$D$4:$D$14</c:f>
              <c:numCache>
                <c:formatCode>General</c:formatCode>
                <c:ptCount val="11"/>
                <c:pt idx="0">
                  <c:v>9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</c:v>
                </c:pt>
                <c:pt idx="1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03-4BFD-ABF8-B35B756D0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059872"/>
        <c:axId val="1"/>
      </c:scatterChart>
      <c:valAx>
        <c:axId val="6670598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X</a:t>
                </a:r>
              </a:p>
            </c:rich>
          </c:tx>
          <c:layout>
            <c:manualLayout>
              <c:xMode val="edge"/>
              <c:yMode val="edge"/>
              <c:x val="0.53179645401467679"/>
              <c:y val="0.88625790628630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</a:t>
                </a:r>
              </a:p>
            </c:rich>
          </c:tx>
          <c:layout>
            <c:manualLayout>
              <c:xMode val="edge"/>
              <c:yMode val="edge"/>
              <c:x val="3.3899405431463921E-2"/>
              <c:y val="0.41618174777333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70598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47412405907453"/>
          <c:y val="8.0999482420487282E-2"/>
          <c:w val="0.80363731507860214"/>
          <c:h val="0.7103031535335038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10"/>
            <c:marker>
              <c:symbol val="x"/>
              <c:size val="10"/>
              <c:spPr>
                <a:solidFill>
                  <a:srgbClr val="FFFF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EAA8-441A-AB70-C031B1CEADD0}"/>
              </c:ext>
            </c:extLst>
          </c:dPt>
          <c:xVal>
            <c:numRef>
              <c:f>'Minimize the Maximum Distance'!$C$4:$C$14</c:f>
              <c:numCache>
                <c:formatCode>General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</c:numCache>
            </c:numRef>
          </c:xVal>
          <c:yVal>
            <c:numRef>
              <c:f>'Minimize the Maximum Distance'!$D$4:$D$14</c:f>
              <c:numCache>
                <c:formatCode>General</c:formatCode>
                <c:ptCount val="11"/>
                <c:pt idx="0">
                  <c:v>9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</c:v>
                </c:pt>
                <c:pt idx="1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A8-441A-AB70-C031B1CEA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056592"/>
        <c:axId val="1"/>
      </c:scatterChart>
      <c:valAx>
        <c:axId val="6670565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X</a:t>
                </a:r>
              </a:p>
            </c:rich>
          </c:tx>
          <c:layout>
            <c:manualLayout>
              <c:xMode val="edge"/>
              <c:yMode val="edge"/>
              <c:x val="0.53274823455091036"/>
              <c:y val="0.88476369558282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</a:t>
                </a:r>
              </a:p>
            </c:rich>
          </c:tx>
          <c:layout>
            <c:manualLayout>
              <c:xMode val="edge"/>
              <c:yMode val="edge"/>
              <c:x val="3.6118493784265501E-2"/>
              <c:y val="0.420574181958598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70565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13108421323719"/>
          <c:y val="8.9655172413793102E-2"/>
          <c:w val="0.81434766932783931"/>
          <c:h val="0.6724137931034482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1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1A9C-4B35-9AC1-3BCED9B0B66F}"/>
              </c:ext>
            </c:extLst>
          </c:dPt>
          <c:dPt>
            <c:idx val="11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3-1A9C-4B35-9AC1-3BCED9B0B66F}"/>
              </c:ext>
            </c:extLst>
          </c:dPt>
          <c:dPt>
            <c:idx val="12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5-1A9C-4B35-9AC1-3BCED9B0B66F}"/>
              </c:ext>
            </c:extLst>
          </c:dPt>
          <c:dPt>
            <c:idx val="13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7-1A9C-4B35-9AC1-3BCED9B0B66F}"/>
              </c:ext>
            </c:extLst>
          </c:dPt>
          <c:dPt>
            <c:idx val="14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9-1A9C-4B35-9AC1-3BCED9B0B66F}"/>
              </c:ext>
            </c:extLst>
          </c:dPt>
          <c:dPt>
            <c:idx val="15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B-1A9C-4B35-9AC1-3BCED9B0B66F}"/>
              </c:ext>
            </c:extLst>
          </c:dPt>
          <c:dPt>
            <c:idx val="16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D-1A9C-4B35-9AC1-3BCED9B0B66F}"/>
              </c:ext>
            </c:extLst>
          </c:dPt>
          <c:dPt>
            <c:idx val="17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F-1A9C-4B35-9AC1-3BCED9B0B66F}"/>
              </c:ext>
            </c:extLst>
          </c:dPt>
          <c:dPt>
            <c:idx val="18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1-1A9C-4B35-9AC1-3BCED9B0B66F}"/>
              </c:ext>
            </c:extLst>
          </c:dPt>
          <c:dPt>
            <c:idx val="19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3-1A9C-4B35-9AC1-3BCED9B0B66F}"/>
              </c:ext>
            </c:extLst>
          </c:dPt>
          <c:dPt>
            <c:idx val="2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5-1A9C-4B35-9AC1-3BCED9B0B66F}"/>
              </c:ext>
            </c:extLst>
          </c:dPt>
          <c:dPt>
            <c:idx val="21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7-1A9C-4B35-9AC1-3BCED9B0B66F}"/>
              </c:ext>
            </c:extLst>
          </c:dPt>
          <c:dPt>
            <c:idx val="22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9-1A9C-4B35-9AC1-3BCED9B0B66F}"/>
              </c:ext>
            </c:extLst>
          </c:dPt>
          <c:dPt>
            <c:idx val="23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B-1A9C-4B35-9AC1-3BCED9B0B66F}"/>
              </c:ext>
            </c:extLst>
          </c:dPt>
          <c:dPt>
            <c:idx val="24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D-1A9C-4B35-9AC1-3BCED9B0B66F}"/>
              </c:ext>
            </c:extLst>
          </c:dPt>
          <c:xVal>
            <c:numRef>
              <c:f>Sheet3!$C$3:$C$27</c:f>
              <c:numCache>
                <c:formatCode>General</c:formatCode>
                <c:ptCount val="25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0</c:v>
                </c:pt>
                <c:pt idx="9">
                  <c:v>5</c:v>
                </c:pt>
                <c:pt idx="10">
                  <c:v>4.5</c:v>
                </c:pt>
                <c:pt idx="11">
                  <c:v>4.2839714784285023</c:v>
                </c:pt>
                <c:pt idx="12">
                  <c:v>4.24199891733159</c:v>
                </c:pt>
                <c:pt idx="13">
                  <c:v>4.2390850188438236</c:v>
                </c:pt>
                <c:pt idx="14">
                  <c:v>4.2399613143819312</c:v>
                </c:pt>
                <c:pt idx="15">
                  <c:v>4.2386155937504633</c:v>
                </c:pt>
                <c:pt idx="16">
                  <c:v>4.2353421308768304</c:v>
                </c:pt>
                <c:pt idx="17">
                  <c:v>4.2311300854115368</c:v>
                </c:pt>
                <c:pt idx="18">
                  <c:v>4.226679291415433</c:v>
                </c:pt>
                <c:pt idx="19">
                  <c:v>4.2223818926566805</c:v>
                </c:pt>
                <c:pt idx="20">
                  <c:v>4.2184297828365951</c:v>
                </c:pt>
                <c:pt idx="21">
                  <c:v>4.214899131901217</c:v>
                </c:pt>
                <c:pt idx="22">
                  <c:v>4.2118027492627244</c:v>
                </c:pt>
                <c:pt idx="23">
                  <c:v>4.2091205621803596</c:v>
                </c:pt>
                <c:pt idx="24">
                  <c:v>4.2068169705612872</c:v>
                </c:pt>
              </c:numCache>
            </c:numRef>
          </c:xVal>
          <c:yVal>
            <c:numRef>
              <c:f>Sheet3!$D$3:$D$27</c:f>
              <c:numCache>
                <c:formatCode>General</c:formatCode>
                <c:ptCount val="25"/>
                <c:pt idx="0">
                  <c:v>9</c:v>
                </c:pt>
                <c:pt idx="1">
                  <c:v>1</c:v>
                </c:pt>
                <c:pt idx="2">
                  <c:v>10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4.5999999999999996</c:v>
                </c:pt>
                <c:pt idx="11">
                  <c:v>4.090699802063849</c:v>
                </c:pt>
                <c:pt idx="12">
                  <c:v>3.7398104535165566</c:v>
                </c:pt>
                <c:pt idx="13">
                  <c:v>3.4866938823755209</c:v>
                </c:pt>
                <c:pt idx="14">
                  <c:v>3.2988740032006181</c:v>
                </c:pt>
                <c:pt idx="15">
                  <c:v>3.1569297227513338</c:v>
                </c:pt>
                <c:pt idx="16">
                  <c:v>3.0481067964256345</c:v>
                </c:pt>
                <c:pt idx="17">
                  <c:v>2.9636458024359391</c:v>
                </c:pt>
                <c:pt idx="18">
                  <c:v>2.8973853745554567</c:v>
                </c:pt>
                <c:pt idx="19">
                  <c:v>2.8449135541497053</c:v>
                </c:pt>
                <c:pt idx="20">
                  <c:v>2.8030204971715516</c:v>
                </c:pt>
                <c:pt idx="21">
                  <c:v>2.7693362740330545</c:v>
                </c:pt>
                <c:pt idx="22">
                  <c:v>2.742086927354987</c:v>
                </c:pt>
                <c:pt idx="23">
                  <c:v>2.7199276095004663</c:v>
                </c:pt>
                <c:pt idx="24">
                  <c:v>2.7018267627578729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A9C-4B35-9AC1-3BCED9B0B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143312"/>
        <c:axId val="1"/>
      </c:scatterChart>
      <c:valAx>
        <c:axId val="6671433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X</a:t>
                </a:r>
              </a:p>
            </c:rich>
          </c:tx>
          <c:layout>
            <c:manualLayout>
              <c:xMode val="edge"/>
              <c:yMode val="edge"/>
              <c:x val="0.53164673334752077"/>
              <c:y val="0.86896550431196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At val="0"/>
        <c:crossBetween val="midCat"/>
        <c:majorUnit val="1"/>
      </c:valAx>
      <c:valAx>
        <c:axId val="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</a:t>
                </a:r>
              </a:p>
            </c:rich>
          </c:tx>
          <c:layout>
            <c:manualLayout>
              <c:xMode val="edge"/>
              <c:yMode val="edge"/>
              <c:x val="3.3755267078101725E-2"/>
              <c:y val="0.403448068991376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7143312"/>
        <c:crosses val="autoZero"/>
        <c:crossBetween val="midCat"/>
        <c:majorUnit val="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35144</xdr:colOff>
      <xdr:row>18</xdr:row>
      <xdr:rowOff>105104</xdr:rowOff>
    </xdr:from>
    <xdr:to>
      <xdr:col>10</xdr:col>
      <xdr:colOff>206594</xdr:colOff>
      <xdr:row>38</xdr:row>
      <xdr:rowOff>45655</xdr:rowOff>
    </xdr:to>
    <xdr:graphicFrame macro="">
      <xdr:nvGraphicFramePr>
        <xdr:cNvPr id="37911" name="图表 1">
          <a:extLst>
            <a:ext uri="{FF2B5EF4-FFF2-40B4-BE49-F238E27FC236}">
              <a16:creationId xmlns:a16="http://schemas.microsoft.com/office/drawing/2014/main" id="{69C795CB-154F-4A7A-86F6-C9D9366254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15</xdr:row>
      <xdr:rowOff>142875</xdr:rowOff>
    </xdr:from>
    <xdr:to>
      <xdr:col>14</xdr:col>
      <xdr:colOff>38100</xdr:colOff>
      <xdr:row>34</xdr:row>
      <xdr:rowOff>123825</xdr:rowOff>
    </xdr:to>
    <xdr:graphicFrame macro="">
      <xdr:nvGraphicFramePr>
        <xdr:cNvPr id="4127" name="图表 1">
          <a:extLst>
            <a:ext uri="{FF2B5EF4-FFF2-40B4-BE49-F238E27FC236}">
              <a16:creationId xmlns:a16="http://schemas.microsoft.com/office/drawing/2014/main" id="{9D9CF82F-2752-430E-8FDD-FBA01184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16</xdr:row>
      <xdr:rowOff>0</xdr:rowOff>
    </xdr:from>
    <xdr:to>
      <xdr:col>10</xdr:col>
      <xdr:colOff>200025</xdr:colOff>
      <xdr:row>35</xdr:row>
      <xdr:rowOff>104775</xdr:rowOff>
    </xdr:to>
    <xdr:graphicFrame macro="">
      <xdr:nvGraphicFramePr>
        <xdr:cNvPr id="1055" name="图表 1">
          <a:extLst>
            <a:ext uri="{FF2B5EF4-FFF2-40B4-BE49-F238E27FC236}">
              <a16:creationId xmlns:a16="http://schemas.microsoft.com/office/drawing/2014/main" id="{0F11B2ED-4D2D-4006-95D6-3467F6956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15</xdr:row>
      <xdr:rowOff>142875</xdr:rowOff>
    </xdr:from>
    <xdr:to>
      <xdr:col>12</xdr:col>
      <xdr:colOff>38100</xdr:colOff>
      <xdr:row>34</xdr:row>
      <xdr:rowOff>123825</xdr:rowOff>
    </xdr:to>
    <xdr:graphicFrame macro="">
      <xdr:nvGraphicFramePr>
        <xdr:cNvPr id="2079" name="图表 1">
          <a:extLst>
            <a:ext uri="{FF2B5EF4-FFF2-40B4-BE49-F238E27FC236}">
              <a16:creationId xmlns:a16="http://schemas.microsoft.com/office/drawing/2014/main" id="{8C7B18E7-7F24-4252-BF4D-CE3F5E289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15</xdr:row>
      <xdr:rowOff>161925</xdr:rowOff>
    </xdr:from>
    <xdr:to>
      <xdr:col>13</xdr:col>
      <xdr:colOff>476250</xdr:colOff>
      <xdr:row>32</xdr:row>
      <xdr:rowOff>38100</xdr:rowOff>
    </xdr:to>
    <xdr:graphicFrame macro="">
      <xdr:nvGraphicFramePr>
        <xdr:cNvPr id="3109" name="图表 7">
          <a:extLst>
            <a:ext uri="{FF2B5EF4-FFF2-40B4-BE49-F238E27FC236}">
              <a16:creationId xmlns:a16="http://schemas.microsoft.com/office/drawing/2014/main" id="{F47638BE-1CE7-4235-8DE3-FDC05DCF3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28"/>
  <sheetViews>
    <sheetView tabSelected="1" zoomScale="115" zoomScaleNormal="115" workbookViewId="0">
      <selection activeCell="O17" sqref="O17"/>
    </sheetView>
  </sheetViews>
  <sheetFormatPr defaultRowHeight="12.75" x14ac:dyDescent="0.2"/>
  <cols>
    <col min="1" max="1" width="0.5703125" style="6" customWidth="1"/>
    <col min="2" max="2" width="6.5703125" style="6" customWidth="1"/>
    <col min="3" max="3" width="5.140625" style="6" customWidth="1"/>
    <col min="4" max="4" width="9.7109375" style="6" customWidth="1"/>
    <col min="5" max="5" width="7.5703125" style="8" customWidth="1"/>
    <col min="6" max="6" width="7.5703125" style="6" customWidth="1"/>
    <col min="7" max="7" width="7.5703125" style="8" customWidth="1"/>
    <col min="8" max="8" width="7.140625" style="8" customWidth="1"/>
    <col min="9" max="10" width="8.140625" style="8" customWidth="1"/>
    <col min="11" max="11" width="10.140625" style="6" customWidth="1"/>
    <col min="12" max="12" width="9.5703125" style="6" customWidth="1"/>
    <col min="13" max="13" width="9.140625" style="6"/>
    <col min="14" max="14" width="8.5703125" style="13" customWidth="1"/>
    <col min="15" max="16384" width="9.140625" style="6"/>
  </cols>
  <sheetData>
    <row r="1" spans="2:15" x14ac:dyDescent="0.2">
      <c r="B1" s="6" t="s">
        <v>34</v>
      </c>
    </row>
    <row r="3" spans="2:15" x14ac:dyDescent="0.2">
      <c r="B3" s="9" t="s">
        <v>14</v>
      </c>
      <c r="C3" s="7" t="s">
        <v>1</v>
      </c>
      <c r="D3" s="7" t="s">
        <v>2</v>
      </c>
      <c r="E3" s="8" t="s">
        <v>4</v>
      </c>
      <c r="F3" s="6" t="s">
        <v>5</v>
      </c>
      <c r="G3" s="8" t="s">
        <v>6</v>
      </c>
      <c r="H3" s="8" t="s">
        <v>7</v>
      </c>
      <c r="I3" s="8" t="s">
        <v>8</v>
      </c>
      <c r="J3" s="8" t="s">
        <v>9</v>
      </c>
      <c r="K3" s="6" t="s">
        <v>31</v>
      </c>
      <c r="L3" s="6" t="s">
        <v>32</v>
      </c>
      <c r="M3" s="6" t="s">
        <v>33</v>
      </c>
      <c r="N3" s="13" t="s">
        <v>37</v>
      </c>
    </row>
    <row r="4" spans="2:15" x14ac:dyDescent="0.2">
      <c r="B4" s="6">
        <v>1</v>
      </c>
      <c r="C4" s="6">
        <v>9</v>
      </c>
      <c r="D4" s="6">
        <v>9</v>
      </c>
      <c r="E4" s="14">
        <v>9</v>
      </c>
      <c r="F4" s="15">
        <v>0</v>
      </c>
      <c r="G4" s="6">
        <f>(C4-$C$14)*K4+(C4-$C$15)*L4</f>
        <v>9</v>
      </c>
      <c r="H4" s="8">
        <f>-G4</f>
        <v>-9</v>
      </c>
      <c r="I4" s="8">
        <f>($D$14-D4)*K4+($D$15-D4)*L4</f>
        <v>0</v>
      </c>
      <c r="J4" s="8">
        <f>-I4</f>
        <v>0</v>
      </c>
      <c r="K4" s="19">
        <v>0</v>
      </c>
      <c r="L4" s="19">
        <v>1</v>
      </c>
      <c r="M4" s="20"/>
      <c r="N4" s="13">
        <f>SUM(K4:L4)</f>
        <v>1</v>
      </c>
      <c r="O4" s="6">
        <v>1</v>
      </c>
    </row>
    <row r="5" spans="2:15" x14ac:dyDescent="0.2">
      <c r="B5" s="6">
        <v>2</v>
      </c>
      <c r="C5" s="6">
        <v>9</v>
      </c>
      <c r="D5" s="6">
        <v>3</v>
      </c>
      <c r="E5" s="14">
        <v>4</v>
      </c>
      <c r="F5" s="15">
        <v>0.99999999999999944</v>
      </c>
      <c r="G5" s="6">
        <f>(C5-$C$14)*K5+(C5-$C$15)*L5</f>
        <v>4</v>
      </c>
      <c r="H5" s="8">
        <f t="shared" ref="H5:H13" si="0">-G5</f>
        <v>-4</v>
      </c>
      <c r="I5" s="8">
        <f t="shared" ref="I5:I13" si="1">($D$14-D5)*K5+($D$15-D5)*L5</f>
        <v>-1</v>
      </c>
      <c r="J5" s="8">
        <f t="shared" ref="J5:J15" si="2">-I5</f>
        <v>1</v>
      </c>
      <c r="K5" s="19">
        <v>1</v>
      </c>
      <c r="L5" s="19">
        <v>0</v>
      </c>
      <c r="M5" s="20"/>
      <c r="N5" s="13">
        <f t="shared" ref="N5:N13" si="3">SUM(K5:L5)</f>
        <v>1</v>
      </c>
      <c r="O5" s="6">
        <v>1</v>
      </c>
    </row>
    <row r="6" spans="2:15" x14ac:dyDescent="0.2">
      <c r="B6" s="6">
        <v>3</v>
      </c>
      <c r="C6" s="6">
        <v>8</v>
      </c>
      <c r="D6" s="6">
        <v>6</v>
      </c>
      <c r="E6" s="14">
        <v>3</v>
      </c>
      <c r="F6" s="15">
        <v>4</v>
      </c>
      <c r="G6" s="6">
        <f t="shared" ref="G5:G13" si="4">(C6-$C$14)*K6+(C6-$C$15)*L6</f>
        <v>3</v>
      </c>
      <c r="H6" s="8">
        <f t="shared" si="0"/>
        <v>-3</v>
      </c>
      <c r="I6" s="8">
        <f t="shared" si="1"/>
        <v>-4</v>
      </c>
      <c r="J6" s="8">
        <f t="shared" si="2"/>
        <v>4</v>
      </c>
      <c r="K6" s="19">
        <v>1</v>
      </c>
      <c r="L6" s="19">
        <v>0</v>
      </c>
      <c r="M6" s="20"/>
      <c r="N6" s="13">
        <f t="shared" si="3"/>
        <v>1</v>
      </c>
      <c r="O6" s="6">
        <v>1</v>
      </c>
    </row>
    <row r="7" spans="2:15" x14ac:dyDescent="0.2">
      <c r="B7" s="6">
        <v>4</v>
      </c>
      <c r="C7" s="6">
        <v>3</v>
      </c>
      <c r="D7" s="6">
        <v>9</v>
      </c>
      <c r="E7" s="14">
        <v>3.0000000000000009</v>
      </c>
      <c r="F7" s="15">
        <v>0</v>
      </c>
      <c r="G7" s="6">
        <f t="shared" si="4"/>
        <v>3</v>
      </c>
      <c r="H7" s="8">
        <f t="shared" si="0"/>
        <v>-3</v>
      </c>
      <c r="I7" s="8">
        <f t="shared" si="1"/>
        <v>0</v>
      </c>
      <c r="J7" s="8">
        <f t="shared" si="2"/>
        <v>0</v>
      </c>
      <c r="K7" s="19">
        <v>0</v>
      </c>
      <c r="L7" s="19">
        <v>1</v>
      </c>
      <c r="M7" s="20"/>
      <c r="N7" s="13">
        <f t="shared" si="3"/>
        <v>1</v>
      </c>
      <c r="O7" s="6">
        <v>1</v>
      </c>
    </row>
    <row r="8" spans="2:15" x14ac:dyDescent="0.2">
      <c r="B8" s="6">
        <v>5</v>
      </c>
      <c r="C8" s="6">
        <v>0</v>
      </c>
      <c r="D8" s="6">
        <v>6</v>
      </c>
      <c r="E8" s="14">
        <v>4.4408920985006262E-16</v>
      </c>
      <c r="F8" s="15">
        <v>3</v>
      </c>
      <c r="G8" s="6">
        <f t="shared" si="4"/>
        <v>0</v>
      </c>
      <c r="H8" s="8">
        <f t="shared" si="0"/>
        <v>0</v>
      </c>
      <c r="I8" s="8">
        <f t="shared" si="1"/>
        <v>3</v>
      </c>
      <c r="J8" s="8">
        <f t="shared" si="2"/>
        <v>-3</v>
      </c>
      <c r="K8" s="19">
        <v>0</v>
      </c>
      <c r="L8" s="19">
        <v>1</v>
      </c>
      <c r="M8" s="20"/>
      <c r="N8" s="13">
        <f t="shared" si="3"/>
        <v>1</v>
      </c>
      <c r="O8" s="6">
        <v>1</v>
      </c>
    </row>
    <row r="9" spans="2:15" x14ac:dyDescent="0.2">
      <c r="B9" s="6">
        <v>6</v>
      </c>
      <c r="C9" s="6">
        <v>4</v>
      </c>
      <c r="D9" s="6">
        <v>2</v>
      </c>
      <c r="E9" s="14">
        <v>1</v>
      </c>
      <c r="F9" s="15">
        <v>0</v>
      </c>
      <c r="G9" s="6">
        <f t="shared" si="4"/>
        <v>-1</v>
      </c>
      <c r="H9" s="8">
        <f t="shared" si="0"/>
        <v>1</v>
      </c>
      <c r="I9" s="8">
        <f t="shared" si="1"/>
        <v>0</v>
      </c>
      <c r="J9" s="8">
        <f t="shared" si="2"/>
        <v>0</v>
      </c>
      <c r="K9" s="19">
        <v>1</v>
      </c>
      <c r="L9" s="19">
        <v>0</v>
      </c>
      <c r="M9" s="20"/>
      <c r="N9" s="13">
        <f t="shared" si="3"/>
        <v>1</v>
      </c>
      <c r="O9" s="6">
        <v>1</v>
      </c>
    </row>
    <row r="10" spans="2:15" x14ac:dyDescent="0.2">
      <c r="B10" s="6">
        <v>7</v>
      </c>
      <c r="C10" s="6">
        <v>4</v>
      </c>
      <c r="D10" s="6">
        <v>0</v>
      </c>
      <c r="E10" s="14">
        <v>1</v>
      </c>
      <c r="F10" s="15">
        <v>2</v>
      </c>
      <c r="G10" s="6">
        <f t="shared" si="4"/>
        <v>-1</v>
      </c>
      <c r="H10" s="8">
        <f t="shared" si="0"/>
        <v>1</v>
      </c>
      <c r="I10" s="8">
        <f t="shared" si="1"/>
        <v>2</v>
      </c>
      <c r="J10" s="8">
        <f t="shared" si="2"/>
        <v>-2</v>
      </c>
      <c r="K10" s="19">
        <v>1</v>
      </c>
      <c r="L10" s="19">
        <v>0</v>
      </c>
      <c r="M10" s="20"/>
      <c r="N10" s="13">
        <f t="shared" si="3"/>
        <v>1</v>
      </c>
      <c r="O10" s="6">
        <v>1</v>
      </c>
    </row>
    <row r="11" spans="2:15" x14ac:dyDescent="0.2">
      <c r="B11" s="6">
        <v>8</v>
      </c>
      <c r="C11" s="6">
        <v>2</v>
      </c>
      <c r="D11" s="6">
        <v>0</v>
      </c>
      <c r="E11" s="14">
        <v>3.0000000000000009</v>
      </c>
      <c r="F11" s="15">
        <v>2.0000000000000004</v>
      </c>
      <c r="G11" s="6">
        <f t="shared" si="4"/>
        <v>-3</v>
      </c>
      <c r="H11" s="8">
        <f t="shared" si="0"/>
        <v>3</v>
      </c>
      <c r="I11" s="8">
        <f t="shared" si="1"/>
        <v>2</v>
      </c>
      <c r="J11" s="8">
        <f t="shared" si="2"/>
        <v>-2</v>
      </c>
      <c r="K11" s="19">
        <v>1</v>
      </c>
      <c r="L11" s="19">
        <v>0</v>
      </c>
      <c r="M11" s="20"/>
      <c r="N11" s="13">
        <f t="shared" si="3"/>
        <v>1</v>
      </c>
      <c r="O11" s="6">
        <v>1</v>
      </c>
    </row>
    <row r="12" spans="2:15" x14ac:dyDescent="0.2">
      <c r="B12" s="6">
        <v>9</v>
      </c>
      <c r="C12" s="6">
        <v>0</v>
      </c>
      <c r="D12" s="6">
        <v>9</v>
      </c>
      <c r="E12" s="14">
        <v>0</v>
      </c>
      <c r="F12" s="15">
        <v>0</v>
      </c>
      <c r="G12" s="6">
        <f t="shared" si="4"/>
        <v>0</v>
      </c>
      <c r="H12" s="8">
        <f t="shared" si="0"/>
        <v>0</v>
      </c>
      <c r="I12" s="8">
        <f t="shared" si="1"/>
        <v>0</v>
      </c>
      <c r="J12" s="8">
        <f t="shared" si="2"/>
        <v>0</v>
      </c>
      <c r="K12" s="19">
        <v>0</v>
      </c>
      <c r="L12" s="19">
        <v>1</v>
      </c>
      <c r="M12" s="20"/>
      <c r="N12" s="13">
        <f t="shared" si="3"/>
        <v>1</v>
      </c>
      <c r="O12" s="6">
        <v>1</v>
      </c>
    </row>
    <row r="13" spans="2:15" x14ac:dyDescent="0.2">
      <c r="B13" s="6">
        <v>10</v>
      </c>
      <c r="C13" s="6">
        <v>5</v>
      </c>
      <c r="D13" s="6">
        <v>2</v>
      </c>
      <c r="E13" s="14">
        <v>0</v>
      </c>
      <c r="F13" s="15">
        <v>0</v>
      </c>
      <c r="G13" s="6">
        <f t="shared" si="4"/>
        <v>0</v>
      </c>
      <c r="H13" s="8">
        <f t="shared" si="0"/>
        <v>0</v>
      </c>
      <c r="I13" s="8">
        <f t="shared" si="1"/>
        <v>0</v>
      </c>
      <c r="J13" s="8">
        <f t="shared" si="2"/>
        <v>0</v>
      </c>
      <c r="K13" s="19">
        <v>1</v>
      </c>
      <c r="L13" s="19">
        <v>0</v>
      </c>
      <c r="M13" s="20"/>
      <c r="N13" s="13">
        <f t="shared" si="3"/>
        <v>1</v>
      </c>
      <c r="O13" s="6">
        <v>1</v>
      </c>
    </row>
    <row r="14" spans="2:15" x14ac:dyDescent="0.2">
      <c r="B14" s="6" t="s">
        <v>3</v>
      </c>
      <c r="C14" s="11">
        <v>5</v>
      </c>
      <c r="D14" s="11">
        <v>2</v>
      </c>
      <c r="E14" s="12"/>
      <c r="F14" s="13"/>
    </row>
    <row r="15" spans="2:15" x14ac:dyDescent="0.2">
      <c r="C15" s="11">
        <v>0</v>
      </c>
      <c r="D15" s="11">
        <v>9</v>
      </c>
    </row>
    <row r="16" spans="2:15" x14ac:dyDescent="0.2">
      <c r="C16" s="6" t="s">
        <v>10</v>
      </c>
      <c r="D16" s="23">
        <f>E16+F16</f>
        <v>36</v>
      </c>
      <c r="E16" s="8">
        <f>SUM(E4:E13)</f>
        <v>24</v>
      </c>
      <c r="F16" s="8">
        <f>SUM(F4:F13)</f>
        <v>12</v>
      </c>
    </row>
    <row r="23" spans="15:16" x14ac:dyDescent="0.2">
      <c r="O23" s="11">
        <v>4</v>
      </c>
      <c r="P23" s="11">
        <v>4</v>
      </c>
    </row>
    <row r="24" spans="15:16" x14ac:dyDescent="0.2">
      <c r="O24" s="11">
        <v>5</v>
      </c>
      <c r="P24" s="11">
        <v>5</v>
      </c>
    </row>
    <row r="25" spans="15:16" x14ac:dyDescent="0.2">
      <c r="O25" s="6">
        <v>4</v>
      </c>
      <c r="P25" s="6">
        <v>2</v>
      </c>
    </row>
    <row r="26" spans="15:16" x14ac:dyDescent="0.2">
      <c r="O26" s="6">
        <v>3</v>
      </c>
      <c r="P26" s="6">
        <v>9</v>
      </c>
    </row>
    <row r="27" spans="15:16" x14ac:dyDescent="0.2">
      <c r="O27" s="11">
        <v>5</v>
      </c>
      <c r="P27" s="11">
        <v>2</v>
      </c>
    </row>
    <row r="28" spans="15:16" x14ac:dyDescent="0.2">
      <c r="O28" s="11">
        <v>0</v>
      </c>
      <c r="P28" s="11">
        <v>9</v>
      </c>
    </row>
  </sheetData>
  <phoneticPr fontId="4" type="noConversion"/>
  <dataValidations count="2">
    <dataValidation type="whole" showInputMessage="1" showErrorMessage="1" sqref="K4:L13">
      <formula1>0</formula1>
      <formula2>1</formula2>
    </dataValidation>
    <dataValidation type="whole" operator="greaterThanOrEqual" allowBlank="1" showInputMessage="1" showErrorMessage="1" sqref="C14:D15 O23:P24 E4:F13 O27:P28">
      <formula1>0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46"/>
  <sheetViews>
    <sheetView zoomScale="130" workbookViewId="0">
      <selection activeCell="M11" sqref="M11"/>
    </sheetView>
  </sheetViews>
  <sheetFormatPr defaultRowHeight="12.75" x14ac:dyDescent="0.2"/>
  <cols>
    <col min="1" max="1" width="1.5703125" style="6" customWidth="1"/>
    <col min="2" max="2" width="6.85546875" style="6" customWidth="1"/>
    <col min="3" max="3" width="5" style="6" bestFit="1" customWidth="1"/>
    <col min="4" max="4" width="4.42578125" style="6" customWidth="1"/>
    <col min="5" max="5" width="2.85546875" style="6" customWidth="1"/>
    <col min="6" max="7" width="5" style="6" bestFit="1" customWidth="1"/>
    <col min="8" max="8" width="5.42578125" style="6" bestFit="1" customWidth="1"/>
    <col min="9" max="9" width="5.42578125" style="6" customWidth="1"/>
    <col min="10" max="10" width="6.85546875" style="6" customWidth="1"/>
    <col min="11" max="11" width="5.42578125" style="6" bestFit="1" customWidth="1"/>
    <col min="12" max="12" width="6.5703125" style="6" bestFit="1" customWidth="1"/>
    <col min="13" max="14" width="7.42578125" style="6" bestFit="1" customWidth="1"/>
    <col min="15" max="16384" width="9.140625" style="6"/>
  </cols>
  <sheetData>
    <row r="1" spans="2:17" x14ac:dyDescent="0.2">
      <c r="B1" s="6" t="s">
        <v>20</v>
      </c>
    </row>
    <row r="3" spans="2:17" x14ac:dyDescent="0.2">
      <c r="B3" s="9" t="s">
        <v>14</v>
      </c>
      <c r="C3" s="7" t="s">
        <v>1</v>
      </c>
      <c r="D3" s="7" t="s">
        <v>2</v>
      </c>
      <c r="E3" s="7" t="s">
        <v>19</v>
      </c>
      <c r="F3" s="7" t="s">
        <v>10</v>
      </c>
      <c r="G3" s="6" t="s">
        <v>4</v>
      </c>
      <c r="H3" s="6" t="s">
        <v>5</v>
      </c>
      <c r="I3" s="6" t="s">
        <v>17</v>
      </c>
      <c r="J3" s="6" t="s">
        <v>18</v>
      </c>
      <c r="K3" s="6" t="s">
        <v>6</v>
      </c>
      <c r="L3" s="6" t="s">
        <v>7</v>
      </c>
      <c r="M3" s="6" t="s">
        <v>8</v>
      </c>
      <c r="N3" s="6" t="s">
        <v>9</v>
      </c>
    </row>
    <row r="4" spans="2:17" x14ac:dyDescent="0.2">
      <c r="B4" s="6">
        <v>1</v>
      </c>
      <c r="C4" s="6">
        <v>9</v>
      </c>
      <c r="D4" s="6">
        <v>9</v>
      </c>
      <c r="E4" s="6">
        <f>D$15</f>
        <v>3.9999999999999947</v>
      </c>
      <c r="F4" s="6">
        <f t="shared" ref="F4:F13" si="0">G4+H4</f>
        <v>3.9999999999999964</v>
      </c>
      <c r="G4" s="18">
        <v>3.9999999999999964</v>
      </c>
      <c r="H4" s="18">
        <v>0</v>
      </c>
      <c r="I4" s="18">
        <v>1</v>
      </c>
      <c r="J4" s="22">
        <v>0</v>
      </c>
      <c r="K4" s="6">
        <f>C4-$C$14+20*(1-I4)</f>
        <v>5.9999999999999947</v>
      </c>
      <c r="L4" s="6">
        <f>$C$14-C4+20*I4</f>
        <v>14.000000000000005</v>
      </c>
      <c r="M4" s="6">
        <f>$D$14-D4+20*(1-J4)</f>
        <v>16.000000000000007</v>
      </c>
      <c r="N4" s="6">
        <f>D4-$D$14+20*J4</f>
        <v>3.9999999999999929</v>
      </c>
      <c r="Q4" s="10" t="s">
        <v>21</v>
      </c>
    </row>
    <row r="5" spans="2:17" x14ac:dyDescent="0.2">
      <c r="B5" s="6">
        <v>2</v>
      </c>
      <c r="C5" s="6">
        <v>9</v>
      </c>
      <c r="D5" s="6">
        <v>3</v>
      </c>
      <c r="E5" s="6">
        <f t="shared" ref="E5:E13" si="1">D$15</f>
        <v>3.9999999999999947</v>
      </c>
      <c r="F5" s="6">
        <f t="shared" si="0"/>
        <v>3.9999999999999964</v>
      </c>
      <c r="G5" s="18">
        <v>1.9999999999999876</v>
      </c>
      <c r="H5" s="18">
        <v>2.0000000000000089</v>
      </c>
      <c r="I5" s="18">
        <v>1</v>
      </c>
      <c r="J5" s="22">
        <v>1</v>
      </c>
      <c r="K5" s="6">
        <f t="shared" ref="K5:K13" si="2">C5-$C$14+20*(1-I5)</f>
        <v>5.9999999999999947</v>
      </c>
      <c r="L5" s="6">
        <f t="shared" ref="L5:L13" si="3">$C$14-C5+20*I5</f>
        <v>14.000000000000005</v>
      </c>
      <c r="M5" s="6">
        <f t="shared" ref="M5:M13" si="4">$D$14-D5+20*(1-J5)</f>
        <v>2.0000000000000071</v>
      </c>
      <c r="N5" s="6">
        <f t="shared" ref="N5:N13" si="5">D5-$D$14+20*J5</f>
        <v>17.999999999999993</v>
      </c>
      <c r="Q5" s="6" t="s">
        <v>22</v>
      </c>
    </row>
    <row r="6" spans="2:17" x14ac:dyDescent="0.2">
      <c r="B6" s="6">
        <v>3</v>
      </c>
      <c r="C6" s="6">
        <v>8</v>
      </c>
      <c r="D6" s="6">
        <v>6</v>
      </c>
      <c r="E6" s="6">
        <f t="shared" si="1"/>
        <v>3.9999999999999947</v>
      </c>
      <c r="F6" s="6">
        <f t="shared" si="0"/>
        <v>5.9999999999999938</v>
      </c>
      <c r="G6" s="18">
        <v>4.9999999999999911</v>
      </c>
      <c r="H6" s="18">
        <v>1.0000000000000027</v>
      </c>
      <c r="I6" s="18">
        <v>1</v>
      </c>
      <c r="J6" s="22">
        <v>0</v>
      </c>
      <c r="K6" s="6">
        <f t="shared" si="2"/>
        <v>4.9999999999999947</v>
      </c>
      <c r="L6" s="6">
        <f t="shared" si="3"/>
        <v>15.000000000000005</v>
      </c>
      <c r="M6" s="6">
        <f t="shared" si="4"/>
        <v>19.000000000000007</v>
      </c>
      <c r="N6" s="6">
        <f t="shared" si="5"/>
        <v>0.99999999999999289</v>
      </c>
      <c r="Q6" s="6" t="s">
        <v>35</v>
      </c>
    </row>
    <row r="7" spans="2:17" x14ac:dyDescent="0.2">
      <c r="B7" s="6">
        <v>4</v>
      </c>
      <c r="C7" s="6">
        <v>3</v>
      </c>
      <c r="D7" s="6">
        <v>9</v>
      </c>
      <c r="E7" s="6">
        <f t="shared" si="1"/>
        <v>3.9999999999999947</v>
      </c>
      <c r="F7" s="6">
        <f t="shared" si="0"/>
        <v>4</v>
      </c>
      <c r="G7" s="18">
        <v>0</v>
      </c>
      <c r="H7" s="18">
        <v>4</v>
      </c>
      <c r="I7" s="18">
        <v>1</v>
      </c>
      <c r="J7" s="22">
        <v>0</v>
      </c>
      <c r="K7" s="6">
        <f t="shared" si="2"/>
        <v>-5.3290705182007514E-15</v>
      </c>
      <c r="L7" s="6">
        <f t="shared" si="3"/>
        <v>20.000000000000007</v>
      </c>
      <c r="M7" s="6">
        <f t="shared" si="4"/>
        <v>16.000000000000007</v>
      </c>
      <c r="N7" s="6">
        <f t="shared" si="5"/>
        <v>3.9999999999999929</v>
      </c>
      <c r="Q7" s="6" t="s">
        <v>23</v>
      </c>
    </row>
    <row r="8" spans="2:17" x14ac:dyDescent="0.2">
      <c r="B8" s="6">
        <v>5</v>
      </c>
      <c r="C8" s="6">
        <v>0</v>
      </c>
      <c r="D8" s="6">
        <v>6</v>
      </c>
      <c r="E8" s="6">
        <f t="shared" si="1"/>
        <v>3.9999999999999947</v>
      </c>
      <c r="F8" s="6">
        <f t="shared" si="0"/>
        <v>3.9999999999999947</v>
      </c>
      <c r="G8" s="18">
        <v>3.0000000000000053</v>
      </c>
      <c r="H8" s="18">
        <v>0.99999999999998934</v>
      </c>
      <c r="I8" s="18">
        <v>0</v>
      </c>
      <c r="J8" s="22">
        <v>0</v>
      </c>
      <c r="K8" s="6">
        <f t="shared" si="2"/>
        <v>16.999999999999993</v>
      </c>
      <c r="L8" s="6">
        <f t="shared" si="3"/>
        <v>3.0000000000000053</v>
      </c>
      <c r="M8" s="6">
        <f t="shared" si="4"/>
        <v>19.000000000000007</v>
      </c>
      <c r="N8" s="6">
        <f t="shared" si="5"/>
        <v>0.99999999999999289</v>
      </c>
      <c r="Q8" s="6" t="s">
        <v>24</v>
      </c>
    </row>
    <row r="9" spans="2:17" x14ac:dyDescent="0.2">
      <c r="B9" s="6">
        <v>6</v>
      </c>
      <c r="C9" s="6">
        <v>4</v>
      </c>
      <c r="D9" s="6">
        <v>2</v>
      </c>
      <c r="E9" s="6">
        <f t="shared" si="1"/>
        <v>3.9999999999999947</v>
      </c>
      <c r="F9" s="6">
        <f t="shared" si="0"/>
        <v>3.9999999999999982</v>
      </c>
      <c r="G9" s="18">
        <v>0.99999999999999112</v>
      </c>
      <c r="H9" s="18">
        <v>3.0000000000000071</v>
      </c>
      <c r="I9" s="18">
        <v>1</v>
      </c>
      <c r="J9" s="22">
        <v>1</v>
      </c>
      <c r="K9" s="6">
        <f t="shared" si="2"/>
        <v>0.99999999999999467</v>
      </c>
      <c r="L9" s="6">
        <f>$C$14-C9+20*I9</f>
        <v>19.000000000000007</v>
      </c>
      <c r="M9" s="6">
        <f t="shared" si="4"/>
        <v>3.0000000000000071</v>
      </c>
      <c r="N9" s="6">
        <f t="shared" si="5"/>
        <v>16.999999999999993</v>
      </c>
      <c r="Q9" s="10" t="s">
        <v>25</v>
      </c>
    </row>
    <row r="10" spans="2:17" x14ac:dyDescent="0.2">
      <c r="B10" s="6">
        <v>7</v>
      </c>
      <c r="C10" s="6">
        <v>4</v>
      </c>
      <c r="D10" s="6">
        <v>0</v>
      </c>
      <c r="E10" s="6">
        <f t="shared" si="1"/>
        <v>3.9999999999999947</v>
      </c>
      <c r="F10" s="6">
        <f t="shared" si="0"/>
        <v>5.9999999999999982</v>
      </c>
      <c r="G10" s="18">
        <v>0.99999999999999112</v>
      </c>
      <c r="H10" s="18">
        <v>5.0000000000000071</v>
      </c>
      <c r="I10" s="18">
        <v>1</v>
      </c>
      <c r="J10" s="22">
        <v>1</v>
      </c>
      <c r="K10" s="6">
        <f t="shared" si="2"/>
        <v>0.99999999999999467</v>
      </c>
      <c r="L10" s="6">
        <f t="shared" si="3"/>
        <v>19.000000000000007</v>
      </c>
      <c r="M10" s="6">
        <f t="shared" si="4"/>
        <v>5.0000000000000071</v>
      </c>
      <c r="N10" s="6">
        <f t="shared" si="5"/>
        <v>14.999999999999993</v>
      </c>
      <c r="Q10" s="10" t="s">
        <v>36</v>
      </c>
    </row>
    <row r="11" spans="2:17" x14ac:dyDescent="0.2">
      <c r="B11" s="6">
        <v>8</v>
      </c>
      <c r="C11" s="6">
        <v>2</v>
      </c>
      <c r="D11" s="6">
        <v>0</v>
      </c>
      <c r="E11" s="6">
        <f t="shared" si="1"/>
        <v>3.9999999999999947</v>
      </c>
      <c r="F11" s="6">
        <f t="shared" si="0"/>
        <v>6.0000000000000231</v>
      </c>
      <c r="G11" s="18">
        <v>1.0000000000000053</v>
      </c>
      <c r="H11" s="18">
        <v>5.0000000000000178</v>
      </c>
      <c r="I11" s="18">
        <v>0</v>
      </c>
      <c r="J11" s="22">
        <v>1</v>
      </c>
      <c r="K11" s="6">
        <f t="shared" si="2"/>
        <v>18.999999999999993</v>
      </c>
      <c r="L11" s="6">
        <f t="shared" si="3"/>
        <v>1.0000000000000053</v>
      </c>
      <c r="M11" s="6">
        <f t="shared" si="4"/>
        <v>5.0000000000000071</v>
      </c>
      <c r="N11" s="6">
        <f t="shared" si="5"/>
        <v>14.999999999999993</v>
      </c>
      <c r="Q11" s="10" t="s">
        <v>28</v>
      </c>
    </row>
    <row r="12" spans="2:17" x14ac:dyDescent="0.2">
      <c r="B12" s="6">
        <v>9</v>
      </c>
      <c r="C12" s="6">
        <v>0</v>
      </c>
      <c r="D12" s="6">
        <v>9</v>
      </c>
      <c r="E12" s="6">
        <f t="shared" si="1"/>
        <v>3.9999999999999947</v>
      </c>
      <c r="F12" s="6">
        <f t="shared" si="0"/>
        <v>3.9999999999999947</v>
      </c>
      <c r="G12" s="18">
        <v>3.0000000000000053</v>
      </c>
      <c r="H12" s="18">
        <v>0.99999999999998934</v>
      </c>
      <c r="I12" s="18">
        <v>0</v>
      </c>
      <c r="J12" s="22">
        <v>0</v>
      </c>
      <c r="K12" s="6">
        <f t="shared" si="2"/>
        <v>16.999999999999993</v>
      </c>
      <c r="L12" s="6">
        <f t="shared" si="3"/>
        <v>3.0000000000000053</v>
      </c>
      <c r="M12" s="6">
        <f t="shared" si="4"/>
        <v>16.000000000000007</v>
      </c>
      <c r="N12" s="6">
        <f t="shared" si="5"/>
        <v>3.9999999999999929</v>
      </c>
      <c r="Q12" s="6" t="s">
        <v>29</v>
      </c>
    </row>
    <row r="13" spans="2:17" x14ac:dyDescent="0.2">
      <c r="B13" s="6">
        <v>10</v>
      </c>
      <c r="C13" s="6">
        <v>5</v>
      </c>
      <c r="D13" s="6">
        <v>2</v>
      </c>
      <c r="E13" s="6">
        <f t="shared" si="1"/>
        <v>3.9999999999999947</v>
      </c>
      <c r="F13" s="6">
        <f t="shared" si="0"/>
        <v>3.9999999999999964</v>
      </c>
      <c r="G13" s="18">
        <v>0.99999999999999201</v>
      </c>
      <c r="H13" s="18">
        <v>3.0000000000000044</v>
      </c>
      <c r="I13" s="18">
        <v>1</v>
      </c>
      <c r="J13" s="22">
        <v>1</v>
      </c>
      <c r="K13" s="6">
        <f t="shared" si="2"/>
        <v>1.9999999999999947</v>
      </c>
      <c r="L13" s="6">
        <f t="shared" si="3"/>
        <v>18.000000000000007</v>
      </c>
      <c r="M13" s="6">
        <f t="shared" si="4"/>
        <v>3.0000000000000071</v>
      </c>
      <c r="N13" s="6">
        <f t="shared" si="5"/>
        <v>16.999999999999993</v>
      </c>
      <c r="Q13" s="10" t="s">
        <v>30</v>
      </c>
    </row>
    <row r="14" spans="2:17" x14ac:dyDescent="0.2">
      <c r="B14" s="6" t="s">
        <v>3</v>
      </c>
      <c r="C14" s="21">
        <v>3.0000000000000053</v>
      </c>
      <c r="D14" s="21">
        <v>5.0000000000000071</v>
      </c>
    </row>
    <row r="15" spans="2:17" x14ac:dyDescent="0.2">
      <c r="C15" s="6" t="s">
        <v>10</v>
      </c>
      <c r="D15" s="18">
        <v>3.9999999999999947</v>
      </c>
    </row>
    <row r="37" spans="2:2" x14ac:dyDescent="0.2">
      <c r="B37" s="10" t="s">
        <v>21</v>
      </c>
    </row>
    <row r="38" spans="2:2" x14ac:dyDescent="0.2">
      <c r="B38" s="6" t="s">
        <v>22</v>
      </c>
    </row>
    <row r="39" spans="2:2" x14ac:dyDescent="0.2">
      <c r="B39" s="6" t="s">
        <v>26</v>
      </c>
    </row>
    <row r="40" spans="2:2" x14ac:dyDescent="0.2">
      <c r="B40" s="6" t="s">
        <v>23</v>
      </c>
    </row>
    <row r="41" spans="2:2" x14ac:dyDescent="0.2">
      <c r="B41" s="6" t="s">
        <v>24</v>
      </c>
    </row>
    <row r="42" spans="2:2" x14ac:dyDescent="0.2">
      <c r="B42" s="10" t="s">
        <v>25</v>
      </c>
    </row>
    <row r="43" spans="2:2" x14ac:dyDescent="0.2">
      <c r="B43" s="10" t="s">
        <v>27</v>
      </c>
    </row>
    <row r="44" spans="2:2" x14ac:dyDescent="0.2">
      <c r="B44" s="10" t="s">
        <v>28</v>
      </c>
    </row>
    <row r="45" spans="2:2" x14ac:dyDescent="0.2">
      <c r="B45" s="6" t="s">
        <v>29</v>
      </c>
    </row>
    <row r="46" spans="2:2" x14ac:dyDescent="0.2">
      <c r="B46" s="10" t="s">
        <v>30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16"/>
  <sheetViews>
    <sheetView zoomScale="145" workbookViewId="0">
      <selection activeCell="E15" sqref="E15"/>
    </sheetView>
  </sheetViews>
  <sheetFormatPr defaultRowHeight="12.75" x14ac:dyDescent="0.2"/>
  <cols>
    <col min="1" max="1" width="0.5703125" style="6" customWidth="1"/>
    <col min="2" max="2" width="6.5703125" style="6" customWidth="1"/>
    <col min="3" max="3" width="5.140625" style="6" customWidth="1"/>
    <col min="4" max="4" width="5.42578125" style="6" customWidth="1"/>
    <col min="5" max="5" width="7.5703125" style="8" customWidth="1"/>
    <col min="6" max="6" width="7.5703125" style="6" customWidth="1"/>
    <col min="7" max="8" width="7.5703125" style="8" customWidth="1"/>
    <col min="9" max="10" width="8.140625" style="8" customWidth="1"/>
    <col min="11" max="16384" width="9.140625" style="6"/>
  </cols>
  <sheetData>
    <row r="1" spans="2:10" x14ac:dyDescent="0.2">
      <c r="B1" s="6" t="s">
        <v>15</v>
      </c>
    </row>
    <row r="3" spans="2:10" x14ac:dyDescent="0.2">
      <c r="B3" s="9" t="s">
        <v>14</v>
      </c>
      <c r="C3" s="7" t="s">
        <v>1</v>
      </c>
      <c r="D3" s="7" t="s">
        <v>2</v>
      </c>
      <c r="E3" s="8" t="s">
        <v>4</v>
      </c>
      <c r="F3" s="6" t="s">
        <v>5</v>
      </c>
      <c r="G3" s="8" t="s">
        <v>6</v>
      </c>
      <c r="H3" s="8" t="s">
        <v>7</v>
      </c>
      <c r="I3" s="8" t="s">
        <v>8</v>
      </c>
      <c r="J3" s="8" t="s">
        <v>9</v>
      </c>
    </row>
    <row r="4" spans="2:10" x14ac:dyDescent="0.2">
      <c r="B4" s="6">
        <v>1</v>
      </c>
      <c r="C4" s="6">
        <v>9</v>
      </c>
      <c r="D4" s="6">
        <v>9</v>
      </c>
      <c r="E4" s="16">
        <v>5</v>
      </c>
      <c r="F4" s="17">
        <v>6</v>
      </c>
      <c r="G4" s="8">
        <f>X-Facility X</f>
        <v>5</v>
      </c>
      <c r="H4" s="8">
        <f>Facility X-X</f>
        <v>-5</v>
      </c>
      <c r="I4" s="8">
        <f>Facility Y-Y</f>
        <v>-6</v>
      </c>
      <c r="J4" s="8">
        <f>Y-Facility Y</f>
        <v>6</v>
      </c>
    </row>
    <row r="5" spans="2:10" x14ac:dyDescent="0.2">
      <c r="B5" s="6">
        <v>2</v>
      </c>
      <c r="C5" s="6">
        <v>9</v>
      </c>
      <c r="D5" s="6">
        <v>3</v>
      </c>
      <c r="E5" s="16">
        <v>5</v>
      </c>
      <c r="F5" s="17">
        <v>0</v>
      </c>
      <c r="G5" s="8">
        <f>X-Facility X</f>
        <v>5</v>
      </c>
      <c r="H5" s="8">
        <f>Facility X-X</f>
        <v>-5</v>
      </c>
      <c r="I5" s="8">
        <f>Facility Y-Y</f>
        <v>0</v>
      </c>
      <c r="J5" s="8">
        <f>Y-Facility Y</f>
        <v>0</v>
      </c>
    </row>
    <row r="6" spans="2:10" x14ac:dyDescent="0.2">
      <c r="B6" s="6">
        <v>3</v>
      </c>
      <c r="C6" s="6">
        <v>8</v>
      </c>
      <c r="D6" s="6">
        <v>6</v>
      </c>
      <c r="E6" s="16">
        <v>4</v>
      </c>
      <c r="F6" s="17">
        <v>3</v>
      </c>
      <c r="G6" s="8">
        <f>X-Facility X</f>
        <v>4</v>
      </c>
      <c r="H6" s="8">
        <f>Facility X-X</f>
        <v>-4</v>
      </c>
      <c r="I6" s="8">
        <f>Facility Y-Y</f>
        <v>-3</v>
      </c>
      <c r="J6" s="8">
        <f>Y-Facility Y</f>
        <v>3</v>
      </c>
    </row>
    <row r="7" spans="2:10" x14ac:dyDescent="0.2">
      <c r="B7" s="6">
        <v>4</v>
      </c>
      <c r="C7" s="6">
        <v>3</v>
      </c>
      <c r="D7" s="6">
        <v>9</v>
      </c>
      <c r="E7" s="16">
        <v>1</v>
      </c>
      <c r="F7" s="17">
        <v>6</v>
      </c>
      <c r="G7" s="8">
        <f>X-Facility X</f>
        <v>-1</v>
      </c>
      <c r="H7" s="8">
        <f>Facility X-X</f>
        <v>1</v>
      </c>
      <c r="I7" s="8">
        <f>Facility Y-Y</f>
        <v>-6</v>
      </c>
      <c r="J7" s="8">
        <f>Y-Facility Y</f>
        <v>6</v>
      </c>
    </row>
    <row r="8" spans="2:10" x14ac:dyDescent="0.2">
      <c r="B8" s="6">
        <v>5</v>
      </c>
      <c r="C8" s="6">
        <v>0</v>
      </c>
      <c r="D8" s="6">
        <v>6</v>
      </c>
      <c r="E8" s="16">
        <v>4</v>
      </c>
      <c r="F8" s="17">
        <v>3</v>
      </c>
      <c r="G8" s="8">
        <f>X-Facility X</f>
        <v>-4</v>
      </c>
      <c r="H8" s="8">
        <f>Facility X-X</f>
        <v>4</v>
      </c>
      <c r="I8" s="8">
        <f>Facility Y-Y</f>
        <v>-3</v>
      </c>
      <c r="J8" s="8">
        <f>Y-Facility Y</f>
        <v>3</v>
      </c>
    </row>
    <row r="9" spans="2:10" x14ac:dyDescent="0.2">
      <c r="B9" s="6">
        <v>6</v>
      </c>
      <c r="C9" s="6">
        <v>4</v>
      </c>
      <c r="D9" s="6">
        <v>2</v>
      </c>
      <c r="E9" s="16">
        <v>0</v>
      </c>
      <c r="F9" s="17">
        <v>1</v>
      </c>
      <c r="G9" s="8">
        <f>X-Facility X</f>
        <v>0</v>
      </c>
      <c r="H9" s="8">
        <f>Facility X-X</f>
        <v>0</v>
      </c>
      <c r="I9" s="8">
        <f>Facility Y-Y</f>
        <v>1</v>
      </c>
      <c r="J9" s="8">
        <f>Y-Facility Y</f>
        <v>-1</v>
      </c>
    </row>
    <row r="10" spans="2:10" x14ac:dyDescent="0.2">
      <c r="B10" s="6">
        <v>7</v>
      </c>
      <c r="C10" s="6">
        <v>4</v>
      </c>
      <c r="D10" s="6">
        <v>0</v>
      </c>
      <c r="E10" s="16">
        <v>0</v>
      </c>
      <c r="F10" s="17">
        <v>3</v>
      </c>
      <c r="G10" s="8">
        <f>X-Facility X</f>
        <v>0</v>
      </c>
      <c r="H10" s="8">
        <f>Facility X-X</f>
        <v>0</v>
      </c>
      <c r="I10" s="8">
        <f>Facility Y-Y</f>
        <v>3</v>
      </c>
      <c r="J10" s="8">
        <f>Y-Facility Y</f>
        <v>-3</v>
      </c>
    </row>
    <row r="11" spans="2:10" x14ac:dyDescent="0.2">
      <c r="B11" s="6">
        <v>8</v>
      </c>
      <c r="C11" s="6">
        <v>2</v>
      </c>
      <c r="D11" s="6">
        <v>0</v>
      </c>
      <c r="E11" s="16">
        <v>2</v>
      </c>
      <c r="F11" s="17">
        <v>3</v>
      </c>
      <c r="G11" s="8">
        <f>X-Facility X</f>
        <v>-2</v>
      </c>
      <c r="H11" s="8">
        <f>Facility X-X</f>
        <v>2</v>
      </c>
      <c r="I11" s="8">
        <f>Facility Y-Y</f>
        <v>3</v>
      </c>
      <c r="J11" s="8">
        <f>Y-Facility Y</f>
        <v>-3</v>
      </c>
    </row>
    <row r="12" spans="2:10" x14ac:dyDescent="0.2">
      <c r="B12" s="6">
        <v>9</v>
      </c>
      <c r="C12" s="6">
        <v>0</v>
      </c>
      <c r="D12" s="6">
        <v>9</v>
      </c>
      <c r="E12" s="16">
        <v>4</v>
      </c>
      <c r="F12" s="17">
        <v>6</v>
      </c>
      <c r="G12" s="8">
        <f>X-Facility X</f>
        <v>-4</v>
      </c>
      <c r="H12" s="8">
        <f>Facility X-X</f>
        <v>4</v>
      </c>
      <c r="I12" s="8">
        <f>Facility Y-Y</f>
        <v>-6</v>
      </c>
      <c r="J12" s="8">
        <f>Y-Facility Y</f>
        <v>6</v>
      </c>
    </row>
    <row r="13" spans="2:10" x14ac:dyDescent="0.2">
      <c r="B13" s="6">
        <v>10</v>
      </c>
      <c r="C13" s="6">
        <v>5</v>
      </c>
      <c r="D13" s="6">
        <v>2</v>
      </c>
      <c r="E13" s="16">
        <v>1</v>
      </c>
      <c r="F13" s="17">
        <v>1</v>
      </c>
      <c r="G13" s="8">
        <f>X-Facility X</f>
        <v>1</v>
      </c>
      <c r="H13" s="8">
        <f>Facility X-X</f>
        <v>-1</v>
      </c>
      <c r="I13" s="8">
        <f>Facility Y-Y</f>
        <v>1</v>
      </c>
      <c r="J13" s="8">
        <f>Y-Facility Y</f>
        <v>-1</v>
      </c>
    </row>
    <row r="14" spans="2:10" x14ac:dyDescent="0.2">
      <c r="B14" s="6" t="s">
        <v>3</v>
      </c>
      <c r="C14" s="18">
        <v>4</v>
      </c>
      <c r="D14" s="18">
        <v>3</v>
      </c>
    </row>
    <row r="15" spans="2:10" x14ac:dyDescent="0.2">
      <c r="C15" s="6" t="s">
        <v>10</v>
      </c>
      <c r="D15" s="6">
        <f>E15+F15</f>
        <v>58</v>
      </c>
      <c r="E15" s="8">
        <f>SUM(E4:E13)</f>
        <v>26</v>
      </c>
      <c r="F15" s="8">
        <f>SUM(F4:F13)</f>
        <v>32</v>
      </c>
    </row>
    <row r="16" spans="2:10" ht="5.25" customHeight="1" x14ac:dyDescent="0.2"/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15"/>
  <sheetViews>
    <sheetView zoomScale="145" workbookViewId="0">
      <selection activeCell="F8" sqref="F8"/>
    </sheetView>
  </sheetViews>
  <sheetFormatPr defaultRowHeight="12.75" x14ac:dyDescent="0.2"/>
  <cols>
    <col min="1" max="1" width="9.140625" style="6"/>
    <col min="2" max="2" width="9" style="6" bestFit="1" customWidth="1"/>
    <col min="3" max="3" width="5" style="6" bestFit="1" customWidth="1"/>
    <col min="4" max="4" width="2.42578125" style="6" bestFit="1" customWidth="1"/>
    <col min="5" max="5" width="4.5703125" style="6" bestFit="1" customWidth="1"/>
    <col min="6" max="7" width="5" style="6" bestFit="1" customWidth="1"/>
    <col min="8" max="9" width="5.42578125" style="6" bestFit="1" customWidth="1"/>
    <col min="10" max="10" width="6.5703125" style="6" bestFit="1" customWidth="1"/>
    <col min="11" max="12" width="7.42578125" style="6" bestFit="1" customWidth="1"/>
    <col min="13" max="16384" width="9.140625" style="6"/>
  </cols>
  <sheetData>
    <row r="1" spans="2:12" x14ac:dyDescent="0.2">
      <c r="B1" s="6" t="s">
        <v>16</v>
      </c>
    </row>
    <row r="3" spans="2:12" x14ac:dyDescent="0.2">
      <c r="B3" s="6" t="s">
        <v>0</v>
      </c>
      <c r="C3" s="7" t="s">
        <v>1</v>
      </c>
      <c r="D3" s="7" t="s">
        <v>2</v>
      </c>
      <c r="E3" s="7" t="s">
        <v>13</v>
      </c>
      <c r="F3" s="7" t="s">
        <v>10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</row>
    <row r="4" spans="2:12" x14ac:dyDescent="0.2">
      <c r="B4" s="6">
        <v>1</v>
      </c>
      <c r="C4" s="6">
        <v>9</v>
      </c>
      <c r="D4" s="6">
        <v>9</v>
      </c>
      <c r="E4" s="6">
        <f>$D$15</f>
        <v>8</v>
      </c>
      <c r="F4" s="6">
        <f>G4+H4</f>
        <v>8</v>
      </c>
      <c r="G4" s="18">
        <v>5</v>
      </c>
      <c r="H4" s="18">
        <v>3</v>
      </c>
      <c r="I4" s="6">
        <f>C4-$C$14</f>
        <v>5</v>
      </c>
      <c r="J4" s="6">
        <f>$C$14-C4</f>
        <v>-5</v>
      </c>
      <c r="K4" s="6">
        <f>$D$14-D4</f>
        <v>-3</v>
      </c>
      <c r="L4" s="6">
        <f>D4-$D$14</f>
        <v>3</v>
      </c>
    </row>
    <row r="5" spans="2:12" x14ac:dyDescent="0.2">
      <c r="B5" s="6">
        <v>2</v>
      </c>
      <c r="C5" s="6">
        <v>9</v>
      </c>
      <c r="D5" s="6">
        <v>3</v>
      </c>
      <c r="E5" s="6">
        <f>$D$15</f>
        <v>8</v>
      </c>
      <c r="F5" s="6">
        <f t="shared" ref="F5:F13" si="0">G5+H5</f>
        <v>8</v>
      </c>
      <c r="G5" s="18">
        <v>5</v>
      </c>
      <c r="H5" s="18">
        <v>3</v>
      </c>
      <c r="I5" s="6">
        <f t="shared" ref="I5:I13" si="1">C5-$C$14</f>
        <v>5</v>
      </c>
      <c r="J5" s="6">
        <f t="shared" ref="J5:J13" si="2">$C$14-C5</f>
        <v>-5</v>
      </c>
      <c r="K5" s="6">
        <f t="shared" ref="K5:K13" si="3">$D$14-D5</f>
        <v>3</v>
      </c>
      <c r="L5" s="6">
        <f t="shared" ref="L5:L13" si="4">D5-$D$14</f>
        <v>-3</v>
      </c>
    </row>
    <row r="6" spans="2:12" x14ac:dyDescent="0.2">
      <c r="B6" s="6">
        <v>3</v>
      </c>
      <c r="C6" s="6">
        <v>8</v>
      </c>
      <c r="D6" s="6">
        <v>6</v>
      </c>
      <c r="E6" s="6">
        <f t="shared" ref="E6:E13" si="5">$D$15</f>
        <v>8</v>
      </c>
      <c r="F6" s="6">
        <f t="shared" si="0"/>
        <v>8</v>
      </c>
      <c r="G6" s="18">
        <v>4</v>
      </c>
      <c r="H6" s="18">
        <v>4</v>
      </c>
      <c r="I6" s="6">
        <f t="shared" si="1"/>
        <v>4</v>
      </c>
      <c r="J6" s="6">
        <f t="shared" si="2"/>
        <v>-4</v>
      </c>
      <c r="K6" s="6">
        <f t="shared" si="3"/>
        <v>0</v>
      </c>
      <c r="L6" s="6">
        <f t="shared" si="4"/>
        <v>0</v>
      </c>
    </row>
    <row r="7" spans="2:12" x14ac:dyDescent="0.2">
      <c r="B7" s="6">
        <v>4</v>
      </c>
      <c r="C7" s="6">
        <v>3</v>
      </c>
      <c r="D7" s="6">
        <v>9</v>
      </c>
      <c r="E7" s="6">
        <f t="shared" si="5"/>
        <v>8</v>
      </c>
      <c r="F7" s="6">
        <f t="shared" si="0"/>
        <v>8</v>
      </c>
      <c r="G7" s="18">
        <v>1</v>
      </c>
      <c r="H7" s="18">
        <v>7</v>
      </c>
      <c r="I7" s="6">
        <f t="shared" si="1"/>
        <v>-1</v>
      </c>
      <c r="J7" s="6">
        <f t="shared" si="2"/>
        <v>1</v>
      </c>
      <c r="K7" s="6">
        <f t="shared" si="3"/>
        <v>-3</v>
      </c>
      <c r="L7" s="6">
        <f t="shared" si="4"/>
        <v>3</v>
      </c>
    </row>
    <row r="8" spans="2:12" x14ac:dyDescent="0.2">
      <c r="B8" s="6">
        <v>5</v>
      </c>
      <c r="C8" s="6">
        <v>0</v>
      </c>
      <c r="D8" s="6">
        <v>6</v>
      </c>
      <c r="E8" s="6">
        <f t="shared" si="5"/>
        <v>8</v>
      </c>
      <c r="F8" s="6">
        <f t="shared" si="0"/>
        <v>8</v>
      </c>
      <c r="G8" s="18">
        <v>4</v>
      </c>
      <c r="H8" s="18">
        <v>4</v>
      </c>
      <c r="I8" s="6">
        <f t="shared" si="1"/>
        <v>-4</v>
      </c>
      <c r="J8" s="6">
        <f t="shared" si="2"/>
        <v>4</v>
      </c>
      <c r="K8" s="6">
        <f t="shared" si="3"/>
        <v>0</v>
      </c>
      <c r="L8" s="6">
        <f t="shared" si="4"/>
        <v>0</v>
      </c>
    </row>
    <row r="9" spans="2:12" x14ac:dyDescent="0.2">
      <c r="B9" s="6">
        <v>6</v>
      </c>
      <c r="C9" s="6">
        <v>4</v>
      </c>
      <c r="D9" s="6">
        <v>2</v>
      </c>
      <c r="E9" s="6">
        <f t="shared" si="5"/>
        <v>8</v>
      </c>
      <c r="F9" s="6">
        <f t="shared" si="0"/>
        <v>8</v>
      </c>
      <c r="G9" s="18">
        <v>0</v>
      </c>
      <c r="H9" s="18">
        <v>8</v>
      </c>
      <c r="I9" s="6">
        <f t="shared" si="1"/>
        <v>0</v>
      </c>
      <c r="J9" s="6">
        <f t="shared" si="2"/>
        <v>0</v>
      </c>
      <c r="K9" s="6">
        <f t="shared" si="3"/>
        <v>4</v>
      </c>
      <c r="L9" s="6">
        <f t="shared" si="4"/>
        <v>-4</v>
      </c>
    </row>
    <row r="10" spans="2:12" x14ac:dyDescent="0.2">
      <c r="B10" s="6">
        <v>7</v>
      </c>
      <c r="C10" s="6">
        <v>4</v>
      </c>
      <c r="D10" s="6">
        <v>0</v>
      </c>
      <c r="E10" s="6">
        <f t="shared" si="5"/>
        <v>8</v>
      </c>
      <c r="F10" s="6">
        <f t="shared" si="0"/>
        <v>8</v>
      </c>
      <c r="G10" s="18">
        <v>2</v>
      </c>
      <c r="H10" s="18">
        <v>6</v>
      </c>
      <c r="I10" s="6">
        <f t="shared" si="1"/>
        <v>0</v>
      </c>
      <c r="J10" s="6">
        <f t="shared" si="2"/>
        <v>0</v>
      </c>
      <c r="K10" s="6">
        <f t="shared" si="3"/>
        <v>6</v>
      </c>
      <c r="L10" s="6">
        <f t="shared" si="4"/>
        <v>-6</v>
      </c>
    </row>
    <row r="11" spans="2:12" x14ac:dyDescent="0.2">
      <c r="B11" s="6">
        <v>8</v>
      </c>
      <c r="C11" s="6">
        <v>2</v>
      </c>
      <c r="D11" s="6">
        <v>0</v>
      </c>
      <c r="E11" s="6">
        <f t="shared" si="5"/>
        <v>8</v>
      </c>
      <c r="F11" s="6">
        <f t="shared" si="0"/>
        <v>8</v>
      </c>
      <c r="G11" s="18">
        <v>2</v>
      </c>
      <c r="H11" s="18">
        <v>6</v>
      </c>
      <c r="I11" s="6">
        <f t="shared" si="1"/>
        <v>-2</v>
      </c>
      <c r="J11" s="6">
        <f t="shared" si="2"/>
        <v>2</v>
      </c>
      <c r="K11" s="6">
        <f t="shared" si="3"/>
        <v>6</v>
      </c>
      <c r="L11" s="6">
        <f t="shared" si="4"/>
        <v>-6</v>
      </c>
    </row>
    <row r="12" spans="2:12" x14ac:dyDescent="0.2">
      <c r="B12" s="6">
        <v>9</v>
      </c>
      <c r="C12" s="6">
        <v>0</v>
      </c>
      <c r="D12" s="6">
        <v>9</v>
      </c>
      <c r="E12" s="6">
        <f t="shared" si="5"/>
        <v>8</v>
      </c>
      <c r="F12" s="6">
        <f t="shared" si="0"/>
        <v>8</v>
      </c>
      <c r="G12" s="18">
        <v>4</v>
      </c>
      <c r="H12" s="18">
        <v>4</v>
      </c>
      <c r="I12" s="6">
        <f t="shared" si="1"/>
        <v>-4</v>
      </c>
      <c r="J12" s="6">
        <f t="shared" si="2"/>
        <v>4</v>
      </c>
      <c r="K12" s="6">
        <f t="shared" si="3"/>
        <v>-3</v>
      </c>
      <c r="L12" s="6">
        <f t="shared" si="4"/>
        <v>3</v>
      </c>
    </row>
    <row r="13" spans="2:12" x14ac:dyDescent="0.2">
      <c r="B13" s="6">
        <v>10</v>
      </c>
      <c r="C13" s="6">
        <v>5</v>
      </c>
      <c r="D13" s="6">
        <v>2</v>
      </c>
      <c r="E13" s="6">
        <f t="shared" si="5"/>
        <v>8</v>
      </c>
      <c r="F13" s="6">
        <f t="shared" si="0"/>
        <v>8</v>
      </c>
      <c r="G13" s="18">
        <v>1</v>
      </c>
      <c r="H13" s="18">
        <v>7</v>
      </c>
      <c r="I13" s="6">
        <f t="shared" si="1"/>
        <v>1</v>
      </c>
      <c r="J13" s="6">
        <f t="shared" si="2"/>
        <v>-1</v>
      </c>
      <c r="K13" s="6">
        <f t="shared" si="3"/>
        <v>4</v>
      </c>
      <c r="L13" s="6">
        <f t="shared" si="4"/>
        <v>-4</v>
      </c>
    </row>
    <row r="14" spans="2:12" x14ac:dyDescent="0.2">
      <c r="B14" s="6" t="s">
        <v>3</v>
      </c>
      <c r="C14" s="11">
        <v>4</v>
      </c>
      <c r="D14" s="11">
        <v>6</v>
      </c>
    </row>
    <row r="15" spans="2:12" x14ac:dyDescent="0.2">
      <c r="C15" s="6" t="s">
        <v>10</v>
      </c>
      <c r="D15" s="18">
        <v>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G30"/>
  <sheetViews>
    <sheetView workbookViewId="0">
      <selection activeCell="C14" sqref="C14"/>
    </sheetView>
  </sheetViews>
  <sheetFormatPr defaultRowHeight="12.75" x14ac:dyDescent="0.2"/>
  <cols>
    <col min="1" max="1" width="2.5703125" style="1" customWidth="1"/>
    <col min="2" max="16384" width="9.140625" style="1"/>
  </cols>
  <sheetData>
    <row r="2" spans="2:33" x14ac:dyDescent="0.2">
      <c r="B2" s="1" t="s">
        <v>0</v>
      </c>
      <c r="C2" s="2" t="s">
        <v>1</v>
      </c>
      <c r="D2" s="2" t="s">
        <v>2</v>
      </c>
      <c r="E2" s="1" t="s">
        <v>11</v>
      </c>
      <c r="F2" s="1" t="s">
        <v>12</v>
      </c>
      <c r="G2" s="1" t="s">
        <v>11</v>
      </c>
      <c r="H2" s="1" t="s">
        <v>12</v>
      </c>
      <c r="I2" s="1" t="s">
        <v>11</v>
      </c>
      <c r="J2" s="1" t="s">
        <v>12</v>
      </c>
      <c r="K2" s="1" t="s">
        <v>11</v>
      </c>
      <c r="L2" s="1" t="s">
        <v>12</v>
      </c>
      <c r="M2" s="1" t="s">
        <v>11</v>
      </c>
      <c r="N2" s="1" t="s">
        <v>12</v>
      </c>
      <c r="O2" s="1" t="s">
        <v>11</v>
      </c>
      <c r="P2" s="1" t="s">
        <v>12</v>
      </c>
      <c r="Q2" s="1" t="s">
        <v>11</v>
      </c>
      <c r="R2" s="1" t="s">
        <v>12</v>
      </c>
      <c r="S2" s="1" t="s">
        <v>11</v>
      </c>
      <c r="T2" s="1" t="s">
        <v>12</v>
      </c>
      <c r="U2" s="1" t="s">
        <v>11</v>
      </c>
      <c r="V2" s="1" t="s">
        <v>12</v>
      </c>
      <c r="W2" s="1" t="s">
        <v>11</v>
      </c>
      <c r="X2" s="1" t="s">
        <v>12</v>
      </c>
      <c r="Y2" s="1" t="s">
        <v>11</v>
      </c>
      <c r="Z2" s="1" t="s">
        <v>12</v>
      </c>
      <c r="AA2" s="1" t="s">
        <v>11</v>
      </c>
      <c r="AB2" s="1" t="s">
        <v>12</v>
      </c>
      <c r="AC2" s="1" t="s">
        <v>11</v>
      </c>
      <c r="AD2" s="1" t="s">
        <v>12</v>
      </c>
      <c r="AE2" s="1" t="s">
        <v>11</v>
      </c>
      <c r="AF2" s="1" t="s">
        <v>12</v>
      </c>
    </row>
    <row r="3" spans="2:33" x14ac:dyDescent="0.2">
      <c r="B3" s="1">
        <v>1</v>
      </c>
      <c r="C3" s="1">
        <v>9</v>
      </c>
      <c r="D3" s="1">
        <v>9</v>
      </c>
      <c r="E3" s="1">
        <f t="shared" ref="E3:E12" si="0">SQRT(POWER($C3-C$13,2)+POWER($D3-D$13,2))</f>
        <v>6.2936475910238254</v>
      </c>
      <c r="F3" s="1">
        <f>1/E3</f>
        <v>0.15889037089179059</v>
      </c>
      <c r="G3" s="1">
        <f t="shared" ref="G3:G12" si="1">SQRT(POWER($C3-C$14,2)+POWER($D3-D$14,2))</f>
        <v>6.8075071391612791</v>
      </c>
      <c r="H3" s="1">
        <f>1/G3</f>
        <v>0.14689665094103821</v>
      </c>
      <c r="I3" s="1">
        <f t="shared" ref="I3:I12" si="2">SQRT(POWER($C3-C$15,2)+POWER($D3-D$15,2))</f>
        <v>7.0928251330205132</v>
      </c>
      <c r="J3" s="1">
        <f t="shared" ref="J3:J12" si="3">1/I3</f>
        <v>0.14098754463077329</v>
      </c>
      <c r="K3" s="1">
        <f t="shared" ref="K3:K12" si="4">SQRT(POWER($C3-C$16,2)+POWER($D3-D$16,2))</f>
        <v>7.2844255644788367</v>
      </c>
      <c r="L3" s="1">
        <f t="shared" ref="L3:L12" si="5">1/K3</f>
        <v>0.13727918435687178</v>
      </c>
      <c r="M3" s="1">
        <f t="shared" ref="M3:M12" si="6">SQRT(POWER($C3-C$17,2)+POWER($D3-D$17,2))</f>
        <v>7.4270321071045826</v>
      </c>
      <c r="N3" s="1">
        <f t="shared" ref="N3:N12" si="7">1/M3</f>
        <v>0.13464328490561064</v>
      </c>
      <c r="O3" s="1">
        <f t="shared" ref="O3:O12" si="8">SQRT(POWER($C3-C$18,2)+POWER($D3-D$18,2))</f>
        <v>7.5373902465603475</v>
      </c>
      <c r="P3" s="1">
        <f t="shared" ref="P3:P12" si="9">1/O3</f>
        <v>0.13267191525028776</v>
      </c>
      <c r="Q3" s="1">
        <f t="shared" ref="Q3:Q12" si="10">SQRT(POWER($C3-C$19,2)+POWER($D3-D$19,2))</f>
        <v>7.6241063290429043</v>
      </c>
      <c r="R3" s="1">
        <f t="shared" ref="R3:R12" si="11">1/Q3</f>
        <v>0.13116291363758242</v>
      </c>
      <c r="S3" s="1">
        <f t="shared" ref="S3:S12" si="12">SQRT(POWER($C3-C$20,2)+POWER($D3-D$20,2))</f>
        <v>7.6928338251073782</v>
      </c>
      <c r="T3" s="1">
        <f t="shared" ref="T3:T12" si="13">1/S3</f>
        <v>0.12999110896380786</v>
      </c>
      <c r="U3" s="1">
        <f t="shared" ref="U3:U12" si="14">SQRT(POWER($C3-C$21,2)+POWER($D3-D$21,2))</f>
        <v>7.7476768036419736</v>
      </c>
      <c r="V3" s="1">
        <f t="shared" ref="V3:V12" si="15">1/U3</f>
        <v>0.12907094931088595</v>
      </c>
      <c r="W3" s="1">
        <f t="shared" ref="W3:W12" si="16">SQRT(POWER($C3-C$22,2)+POWER($D3-D$22,2))</f>
        <v>7.7917086659798036</v>
      </c>
      <c r="X3" s="1">
        <f t="shared" ref="X3:X12" si="17">1/W3</f>
        <v>0.12834155419159918</v>
      </c>
      <c r="Y3" s="1">
        <f t="shared" ref="Y3:Y12" si="18">SQRT(POWER($C3-C$23,2)+POWER($D3-D$23,2))</f>
        <v>7.8272580575920712</v>
      </c>
      <c r="Z3" s="1">
        <f t="shared" ref="Z3:Z12" si="19">1/Y3</f>
        <v>0.12775865988346291</v>
      </c>
      <c r="AA3" s="1">
        <f t="shared" ref="AA3:AA12" si="20">SQRT(POWER($C3-C$24,2)+POWER($D3-D$24,2))</f>
        <v>7.856103409703822</v>
      </c>
      <c r="AB3" s="1">
        <f t="shared" ref="AB3:AB12" si="21">1/AA3</f>
        <v>0.12728956683090559</v>
      </c>
      <c r="AC3" s="1">
        <f t="shared" ref="AC3:AC12" si="22">SQRT(POWER($C3-C$25,2)+POWER($D3-D$25,2))</f>
        <v>7.8796135017365767</v>
      </c>
      <c r="AD3" s="1">
        <f t="shared" ref="AD3:AD12" si="23">1/AC3</f>
        <v>0.12690977797065953</v>
      </c>
      <c r="AE3" s="1">
        <f t="shared" ref="AE3:AE12" si="24">SQRT(POWER($C3-C$26,2)+POWER($D3-D$26,2))</f>
        <v>7.898850233903512</v>
      </c>
      <c r="AF3" s="1">
        <f t="shared" ref="AF3:AF12" si="25">1/AE3</f>
        <v>0.12660070394901166</v>
      </c>
      <c r="AG3" s="1">
        <f>SQRT(POWER($C3-$C$27,2)+POWER($D3-$D$27,2))</f>
        <v>7.9146440021021949</v>
      </c>
    </row>
    <row r="4" spans="2:33" x14ac:dyDescent="0.2">
      <c r="B4" s="1">
        <v>2</v>
      </c>
      <c r="C4" s="1">
        <v>9</v>
      </c>
      <c r="D4" s="1">
        <v>1</v>
      </c>
      <c r="E4" s="1">
        <f t="shared" si="0"/>
        <v>5.762811813689563</v>
      </c>
      <c r="F4" s="1">
        <f t="shared" ref="F4:H12" si="26">1/E4</f>
        <v>0.17352640209845122</v>
      </c>
      <c r="G4" s="1">
        <f t="shared" si="1"/>
        <v>5.638559238205568</v>
      </c>
      <c r="H4" s="1">
        <f t="shared" si="26"/>
        <v>0.17735026941354667</v>
      </c>
      <c r="I4" s="1">
        <f t="shared" si="2"/>
        <v>5.490458598684846</v>
      </c>
      <c r="J4" s="1">
        <f t="shared" si="3"/>
        <v>0.18213414818199966</v>
      </c>
      <c r="K4" s="1">
        <f t="shared" si="4"/>
        <v>5.3712156838504592</v>
      </c>
      <c r="L4" s="1">
        <f t="shared" si="5"/>
        <v>0.18617759160308581</v>
      </c>
      <c r="M4" s="1">
        <f t="shared" si="6"/>
        <v>5.2860940183818359</v>
      </c>
      <c r="N4" s="1">
        <f t="shared" si="7"/>
        <v>0.18917559856533106</v>
      </c>
      <c r="O4" s="1">
        <f t="shared" si="8"/>
        <v>5.2271528859374676</v>
      </c>
      <c r="P4" s="1">
        <f t="shared" si="9"/>
        <v>0.19130873380235067</v>
      </c>
      <c r="Q4" s="1">
        <f t="shared" si="10"/>
        <v>5.1862034340509844</v>
      </c>
      <c r="R4" s="1">
        <f t="shared" si="11"/>
        <v>0.19281927766934745</v>
      </c>
      <c r="S4" s="1">
        <f t="shared" si="12"/>
        <v>5.1573273213643578</v>
      </c>
      <c r="T4" s="1">
        <f t="shared" si="13"/>
        <v>0.19389888166637687</v>
      </c>
      <c r="U4" s="1">
        <f t="shared" si="14"/>
        <v>5.136600222577111</v>
      </c>
      <c r="V4" s="1">
        <f t="shared" si="15"/>
        <v>0.19468129826507788</v>
      </c>
      <c r="W4" s="1">
        <f t="shared" si="16"/>
        <v>5.1214588548479094</v>
      </c>
      <c r="X4" s="1">
        <f t="shared" si="17"/>
        <v>0.19525686495624434</v>
      </c>
      <c r="Y4" s="1">
        <f t="shared" si="18"/>
        <v>5.1102149323570369</v>
      </c>
      <c r="Z4" s="1">
        <f t="shared" si="19"/>
        <v>0.19568648544861883</v>
      </c>
      <c r="AA4" s="1">
        <f t="shared" si="20"/>
        <v>5.1017390337500501</v>
      </c>
      <c r="AB4" s="1">
        <f t="shared" si="21"/>
        <v>0.19601159396523399</v>
      </c>
      <c r="AC4" s="1">
        <f t="shared" si="22"/>
        <v>5.0952624833691491</v>
      </c>
      <c r="AD4" s="1">
        <f t="shared" si="23"/>
        <v>0.19626074284965361</v>
      </c>
      <c r="AE4" s="1">
        <f t="shared" si="24"/>
        <v>5.0902531144968641</v>
      </c>
      <c r="AF4" s="1">
        <f t="shared" si="25"/>
        <v>0.19645388500466404</v>
      </c>
      <c r="AG4" s="1">
        <f t="shared" ref="AG4:AG12" si="27">SQRT(POWER($C4-$C$27,2)+POWER($D4-$D$27,2))</f>
        <v>5.086336391169799</v>
      </c>
    </row>
    <row r="5" spans="2:33" x14ac:dyDescent="0.2">
      <c r="B5" s="1">
        <v>3</v>
      </c>
      <c r="C5" s="1">
        <v>8</v>
      </c>
      <c r="D5" s="1">
        <v>10</v>
      </c>
      <c r="E5" s="1">
        <f t="shared" si="0"/>
        <v>6.4350602172784681</v>
      </c>
      <c r="F5" s="1">
        <f t="shared" si="26"/>
        <v>0.15539870121416247</v>
      </c>
      <c r="G5" s="1">
        <f t="shared" si="1"/>
        <v>6.980594301523408</v>
      </c>
      <c r="H5" s="1">
        <f t="shared" si="26"/>
        <v>0.14325427847622735</v>
      </c>
      <c r="I5" s="1">
        <f t="shared" si="2"/>
        <v>7.3015440350132472</v>
      </c>
      <c r="J5" s="1">
        <f t="shared" si="3"/>
        <v>0.13695733329891308</v>
      </c>
      <c r="K5" s="1">
        <f t="shared" si="4"/>
        <v>7.5211460614303602</v>
      </c>
      <c r="L5" s="1">
        <f t="shared" si="5"/>
        <v>0.13295846029744854</v>
      </c>
      <c r="M5" s="1">
        <f t="shared" si="6"/>
        <v>7.6839430335163836</v>
      </c>
      <c r="N5" s="1">
        <f t="shared" si="7"/>
        <v>0.13014151661954376</v>
      </c>
      <c r="O5" s="1">
        <f t="shared" si="8"/>
        <v>7.8086889726087385</v>
      </c>
      <c r="P5" s="1">
        <f t="shared" si="9"/>
        <v>0.12806247034653226</v>
      </c>
      <c r="Q5" s="1">
        <f t="shared" si="10"/>
        <v>7.9057869934279443</v>
      </c>
      <c r="R5" s="1">
        <f t="shared" si="11"/>
        <v>0.12648962093606833</v>
      </c>
      <c r="S5" s="1">
        <f t="shared" si="12"/>
        <v>7.9821463796818097</v>
      </c>
      <c r="T5" s="1">
        <f t="shared" si="13"/>
        <v>0.12527958677198084</v>
      </c>
      <c r="U5" s="1">
        <f t="shared" si="14"/>
        <v>8.0427037547961362</v>
      </c>
      <c r="V5" s="1">
        <f t="shared" si="15"/>
        <v>0.12433629665939967</v>
      </c>
      <c r="W5" s="1">
        <f t="shared" si="16"/>
        <v>8.0910852555462984</v>
      </c>
      <c r="X5" s="1">
        <f t="shared" si="17"/>
        <v>0.12359281461217052</v>
      </c>
      <c r="Y5" s="1">
        <f t="shared" si="18"/>
        <v>8.1299930671231255</v>
      </c>
      <c r="Z5" s="1">
        <f t="shared" si="19"/>
        <v>0.12300133490198158</v>
      </c>
      <c r="AA5" s="1">
        <f t="shared" si="20"/>
        <v>8.1614635023196875</v>
      </c>
      <c r="AB5" s="1">
        <f t="shared" si="21"/>
        <v>0.12252704428755645</v>
      </c>
      <c r="AC5" s="1">
        <f t="shared" si="22"/>
        <v>8.1870471221658931</v>
      </c>
      <c r="AD5" s="1">
        <f t="shared" si="23"/>
        <v>0.12214416077960094</v>
      </c>
      <c r="AE5" s="1">
        <f t="shared" si="24"/>
        <v>8.2079364594883018</v>
      </c>
      <c r="AF5" s="1">
        <f t="shared" si="25"/>
        <v>0.12183330182143513</v>
      </c>
      <c r="AG5" s="1">
        <f t="shared" si="27"/>
        <v>8.2250574524205646</v>
      </c>
    </row>
    <row r="6" spans="2:33" x14ac:dyDescent="0.2">
      <c r="B6" s="1">
        <v>4</v>
      </c>
      <c r="C6" s="1">
        <v>3</v>
      </c>
      <c r="D6" s="1">
        <v>9</v>
      </c>
      <c r="E6" s="1">
        <f t="shared" si="0"/>
        <v>4.6486557196677838</v>
      </c>
      <c r="F6" s="1">
        <f t="shared" si="26"/>
        <v>0.21511595185875906</v>
      </c>
      <c r="G6" s="1">
        <f t="shared" si="1"/>
        <v>5.0744271785960047</v>
      </c>
      <c r="H6" s="1">
        <f t="shared" si="26"/>
        <v>0.19706657811900663</v>
      </c>
      <c r="I6" s="1">
        <f t="shared" si="2"/>
        <v>5.4048270440030306</v>
      </c>
      <c r="J6" s="1">
        <f t="shared" si="3"/>
        <v>0.18501979653716358</v>
      </c>
      <c r="K6" s="1">
        <f t="shared" si="4"/>
        <v>5.6508296763005257</v>
      </c>
      <c r="L6" s="1">
        <f t="shared" si="5"/>
        <v>0.17696516392875569</v>
      </c>
      <c r="M6" s="1">
        <f t="shared" si="6"/>
        <v>5.8344101409264599</v>
      </c>
      <c r="N6" s="1">
        <f t="shared" si="7"/>
        <v>0.17139693231117406</v>
      </c>
      <c r="O6" s="1">
        <f t="shared" si="8"/>
        <v>5.97290874314589</v>
      </c>
      <c r="P6" s="1">
        <f t="shared" si="9"/>
        <v>0.16742261484365267</v>
      </c>
      <c r="Q6" s="1">
        <f t="shared" si="10"/>
        <v>6.0787418835704834</v>
      </c>
      <c r="R6" s="1">
        <f t="shared" si="11"/>
        <v>0.16450772530789345</v>
      </c>
      <c r="S6" s="1">
        <f t="shared" si="12"/>
        <v>6.1606211769313219</v>
      </c>
      <c r="T6" s="1">
        <f t="shared" si="13"/>
        <v>0.16232129379169388</v>
      </c>
      <c r="U6" s="1">
        <f t="shared" si="14"/>
        <v>6.2246805018954277</v>
      </c>
      <c r="V6" s="1">
        <f t="shared" si="15"/>
        <v>0.16065081568371228</v>
      </c>
      <c r="W6" s="1">
        <f t="shared" si="16"/>
        <v>6.2752933515003848</v>
      </c>
      <c r="X6" s="1">
        <f t="shared" si="17"/>
        <v>0.15935510007048612</v>
      </c>
      <c r="Y6" s="1">
        <f t="shared" si="18"/>
        <v>6.3156255505040155</v>
      </c>
      <c r="Z6" s="1">
        <f t="shared" si="19"/>
        <v>0.15833744290305424</v>
      </c>
      <c r="AA6" s="1">
        <f t="shared" si="20"/>
        <v>6.3480036520763461</v>
      </c>
      <c r="AB6" s="1">
        <f t="shared" si="21"/>
        <v>0.15752984005812812</v>
      </c>
      <c r="AC6" s="1">
        <f t="shared" si="22"/>
        <v>6.3741620569218389</v>
      </c>
      <c r="AD6" s="1">
        <f t="shared" si="23"/>
        <v>0.15688336616953105</v>
      </c>
      <c r="AE6" s="1">
        <f t="shared" si="24"/>
        <v>6.3954109925634866</v>
      </c>
      <c r="AF6" s="1">
        <f t="shared" si="25"/>
        <v>0.1563621167056799</v>
      </c>
      <c r="AG6" s="1">
        <f t="shared" si="27"/>
        <v>6.4127523986777861</v>
      </c>
    </row>
    <row r="7" spans="2:33" x14ac:dyDescent="0.2">
      <c r="B7" s="1">
        <v>5</v>
      </c>
      <c r="C7" s="1">
        <v>0</v>
      </c>
      <c r="D7" s="1">
        <v>6</v>
      </c>
      <c r="E7" s="1">
        <f t="shared" si="0"/>
        <v>4.7127486671792713</v>
      </c>
      <c r="F7" s="1">
        <f t="shared" si="26"/>
        <v>0.21219039474017432</v>
      </c>
      <c r="G7" s="1">
        <f t="shared" si="1"/>
        <v>4.6901853773414883</v>
      </c>
      <c r="H7" s="1">
        <f t="shared" si="26"/>
        <v>0.2132111888009903</v>
      </c>
      <c r="I7" s="1">
        <f t="shared" si="2"/>
        <v>4.8065592267936754</v>
      </c>
      <c r="J7" s="1">
        <f t="shared" si="3"/>
        <v>0.20804903316817605</v>
      </c>
      <c r="K7" s="1">
        <f t="shared" si="4"/>
        <v>4.9281385367981265</v>
      </c>
      <c r="L7" s="1">
        <f t="shared" si="5"/>
        <v>0.20291637350148695</v>
      </c>
      <c r="M7" s="1">
        <f t="shared" si="6"/>
        <v>5.0272610433555966</v>
      </c>
      <c r="N7" s="1">
        <f t="shared" si="7"/>
        <v>0.19891547134232757</v>
      </c>
      <c r="O7" s="1">
        <f t="shared" si="8"/>
        <v>5.1038133540480688</v>
      </c>
      <c r="P7" s="1">
        <f t="shared" si="9"/>
        <v>0.19593192983964708</v>
      </c>
      <c r="Q7" s="1">
        <f t="shared" si="10"/>
        <v>5.1625377917153132</v>
      </c>
      <c r="R7" s="1">
        <f t="shared" si="11"/>
        <v>0.19370318249384444</v>
      </c>
      <c r="S7" s="1">
        <f t="shared" si="12"/>
        <v>5.207869872869284</v>
      </c>
      <c r="T7" s="1">
        <f t="shared" si="13"/>
        <v>0.19201708652698121</v>
      </c>
      <c r="U7" s="1">
        <f t="shared" si="14"/>
        <v>5.2431894250067348</v>
      </c>
      <c r="V7" s="1">
        <f t="shared" si="15"/>
        <v>0.19072360712939826</v>
      </c>
      <c r="W7" s="1">
        <f t="shared" si="16"/>
        <v>5.2709656921880317</v>
      </c>
      <c r="X7" s="1">
        <f t="shared" si="17"/>
        <v>0.18971855602894083</v>
      </c>
      <c r="Y7" s="1">
        <f t="shared" si="18"/>
        <v>5.2929979949200847</v>
      </c>
      <c r="Z7" s="1">
        <f t="shared" si="19"/>
        <v>0.18892884542177091</v>
      </c>
      <c r="AA7" s="1">
        <f t="shared" si="20"/>
        <v>5.3106085152626594</v>
      </c>
      <c r="AB7" s="1">
        <f t="shared" si="21"/>
        <v>0.18830233807029939</v>
      </c>
      <c r="AC7" s="1">
        <f t="shared" si="22"/>
        <v>5.3247798064904348</v>
      </c>
      <c r="AD7" s="1">
        <f t="shared" si="23"/>
        <v>0.1878011929772361</v>
      </c>
      <c r="AE7" s="1">
        <f t="shared" si="24"/>
        <v>5.3362506307225521</v>
      </c>
      <c r="AF7" s="1">
        <f t="shared" si="25"/>
        <v>0.18739749483329562</v>
      </c>
      <c r="AG7" s="1">
        <f t="shared" si="27"/>
        <v>5.3455828238521068</v>
      </c>
    </row>
    <row r="8" spans="2:33" x14ac:dyDescent="0.2">
      <c r="B8" s="1">
        <v>6</v>
      </c>
      <c r="C8" s="1">
        <v>4</v>
      </c>
      <c r="D8" s="1">
        <v>2</v>
      </c>
      <c r="E8" s="1">
        <f t="shared" si="0"/>
        <v>2.6476404589747449</v>
      </c>
      <c r="F8" s="1">
        <f t="shared" si="26"/>
        <v>0.37769478730024902</v>
      </c>
      <c r="G8" s="1">
        <f t="shared" si="1"/>
        <v>2.1098970266130732</v>
      </c>
      <c r="H8" s="1">
        <f t="shared" si="26"/>
        <v>0.4739567795899769</v>
      </c>
      <c r="I8" s="1">
        <f t="shared" si="2"/>
        <v>1.7565602438160635</v>
      </c>
      <c r="J8" s="1">
        <f t="shared" si="3"/>
        <v>0.56929445119828981</v>
      </c>
      <c r="K8" s="1">
        <f t="shared" si="4"/>
        <v>1.5057955857713061</v>
      </c>
      <c r="L8" s="1">
        <f t="shared" si="5"/>
        <v>0.66410076470490853</v>
      </c>
      <c r="M8" s="1">
        <f t="shared" si="6"/>
        <v>1.3208539315875556</v>
      </c>
      <c r="N8" s="1">
        <f t="shared" si="7"/>
        <v>0.75708598512333902</v>
      </c>
      <c r="O8" s="1">
        <f t="shared" si="8"/>
        <v>1.181280569960568</v>
      </c>
      <c r="P8" s="1">
        <f t="shared" si="9"/>
        <v>0.84653893869885688</v>
      </c>
      <c r="Q8" s="1">
        <f t="shared" si="10"/>
        <v>1.0742037866621275</v>
      </c>
      <c r="R8" s="1">
        <f t="shared" si="11"/>
        <v>0.93092205819465523</v>
      </c>
      <c r="S8" s="1">
        <f t="shared" si="12"/>
        <v>0.99097646235152792</v>
      </c>
      <c r="T8" s="1">
        <f t="shared" si="13"/>
        <v>1.0091057033050612</v>
      </c>
      <c r="U8" s="1">
        <f t="shared" si="14"/>
        <v>0.92557226169685969</v>
      </c>
      <c r="V8" s="1">
        <f t="shared" si="15"/>
        <v>1.0804126715797331</v>
      </c>
      <c r="W8" s="1">
        <f t="shared" si="16"/>
        <v>0.87368908667068412</v>
      </c>
      <c r="X8" s="1">
        <f t="shared" si="17"/>
        <v>1.1445719252493372</v>
      </c>
      <c r="Y8" s="1">
        <f t="shared" si="18"/>
        <v>0.83219798660396194</v>
      </c>
      <c r="Z8" s="1">
        <f t="shared" si="19"/>
        <v>1.2016371297421728</v>
      </c>
      <c r="AA8" s="1">
        <f t="shared" si="20"/>
        <v>0.79878654184641829</v>
      </c>
      <c r="AB8" s="1">
        <f t="shared" si="21"/>
        <v>1.2518989086727361</v>
      </c>
      <c r="AC8" s="1">
        <f t="shared" si="22"/>
        <v>0.77172107159673586</v>
      </c>
      <c r="AD8" s="1">
        <f t="shared" si="23"/>
        <v>1.2958049699627117</v>
      </c>
      <c r="AE8" s="1">
        <f t="shared" si="24"/>
        <v>0.7496847153621885</v>
      </c>
      <c r="AF8" s="1">
        <f t="shared" si="25"/>
        <v>1.3338940750804542</v>
      </c>
      <c r="AG8" s="1">
        <f t="shared" si="27"/>
        <v>0.73166526788917896</v>
      </c>
    </row>
    <row r="9" spans="2:33" x14ac:dyDescent="0.2">
      <c r="B9" s="1">
        <v>7</v>
      </c>
      <c r="C9" s="1">
        <v>4</v>
      </c>
      <c r="D9" s="1">
        <v>0</v>
      </c>
      <c r="E9" s="1">
        <f t="shared" si="0"/>
        <v>4.6270941205037097</v>
      </c>
      <c r="F9" s="1">
        <f t="shared" si="26"/>
        <v>0.21611836153683839</v>
      </c>
      <c r="G9" s="1">
        <f t="shared" si="1"/>
        <v>4.1005444359458032</v>
      </c>
      <c r="H9" s="1">
        <f t="shared" si="26"/>
        <v>0.24387005570135881</v>
      </c>
      <c r="I9" s="1">
        <f t="shared" si="2"/>
        <v>3.7476320129144716</v>
      </c>
      <c r="J9" s="1">
        <f t="shared" si="3"/>
        <v>0.26683516325881645</v>
      </c>
      <c r="K9" s="1">
        <f t="shared" si="4"/>
        <v>3.4948813821974607</v>
      </c>
      <c r="L9" s="1">
        <f t="shared" si="5"/>
        <v>0.28613274404501665</v>
      </c>
      <c r="M9" s="1">
        <f t="shared" si="6"/>
        <v>3.3075899264257012</v>
      </c>
      <c r="N9" s="1">
        <f t="shared" si="7"/>
        <v>0.30233493941029005</v>
      </c>
      <c r="O9" s="1">
        <f t="shared" si="8"/>
        <v>3.1659347238961986</v>
      </c>
      <c r="P9" s="1">
        <f t="shared" si="9"/>
        <v>0.31586248208217543</v>
      </c>
      <c r="Q9" s="1">
        <f t="shared" si="10"/>
        <v>3.0571785948782568</v>
      </c>
      <c r="R9" s="1">
        <f t="shared" si="11"/>
        <v>0.32709897997955273</v>
      </c>
      <c r="S9" s="1">
        <f t="shared" si="12"/>
        <v>2.9726448759780415</v>
      </c>
      <c r="T9" s="1">
        <f t="shared" si="13"/>
        <v>0.33640076151746384</v>
      </c>
      <c r="U9" s="1">
        <f t="shared" si="14"/>
        <v>2.9062390661892334</v>
      </c>
      <c r="V9" s="1">
        <f t="shared" si="15"/>
        <v>0.3440873160208518</v>
      </c>
      <c r="W9" s="1">
        <f t="shared" si="16"/>
        <v>2.8535919184014866</v>
      </c>
      <c r="X9" s="1">
        <f t="shared" si="17"/>
        <v>0.35043553128653937</v>
      </c>
      <c r="Y9" s="1">
        <f t="shared" si="18"/>
        <v>2.8115183580396366</v>
      </c>
      <c r="Z9" s="1">
        <f t="shared" si="19"/>
        <v>0.35567969781896125</v>
      </c>
      <c r="AA9" s="1">
        <f t="shared" si="20"/>
        <v>2.7776617928695311</v>
      </c>
      <c r="AB9" s="1">
        <f t="shared" si="21"/>
        <v>0.36001503227177478</v>
      </c>
      <c r="AC9" s="1">
        <f t="shared" si="22"/>
        <v>2.7502547376136564</v>
      </c>
      <c r="AD9" s="1">
        <f t="shared" si="23"/>
        <v>0.36360268244376553</v>
      </c>
      <c r="AE9" s="1">
        <f t="shared" si="24"/>
        <v>2.7279548402511269</v>
      </c>
      <c r="AF9" s="1">
        <f t="shared" si="25"/>
        <v>0.36657498329699006</v>
      </c>
      <c r="AG9" s="1">
        <f t="shared" si="27"/>
        <v>2.7097308197064218</v>
      </c>
    </row>
    <row r="10" spans="2:33" x14ac:dyDescent="0.2">
      <c r="B10" s="1">
        <v>8</v>
      </c>
      <c r="C10" s="1">
        <v>3</v>
      </c>
      <c r="D10" s="1">
        <v>0</v>
      </c>
      <c r="E10" s="1">
        <f t="shared" si="0"/>
        <v>4.8383881613611779</v>
      </c>
      <c r="F10" s="1">
        <f t="shared" si="26"/>
        <v>0.20668039988727799</v>
      </c>
      <c r="G10" s="1">
        <f t="shared" si="1"/>
        <v>4.2874710060854158</v>
      </c>
      <c r="H10" s="1">
        <f t="shared" si="26"/>
        <v>0.23323772885709348</v>
      </c>
      <c r="I10" s="1">
        <f t="shared" si="2"/>
        <v>3.940652679301305</v>
      </c>
      <c r="J10" s="1">
        <f t="shared" si="3"/>
        <v>0.2537650692365267</v>
      </c>
      <c r="K10" s="1">
        <f t="shared" si="4"/>
        <v>3.7003197042036895</v>
      </c>
      <c r="L10" s="1">
        <f t="shared" si="5"/>
        <v>0.2702469191686237</v>
      </c>
      <c r="M10" s="1">
        <f t="shared" si="6"/>
        <v>3.5242125007094334</v>
      </c>
      <c r="N10" s="1">
        <f t="shared" si="7"/>
        <v>0.28375133446087525</v>
      </c>
      <c r="O10" s="1">
        <f t="shared" si="8"/>
        <v>3.3912201142763685</v>
      </c>
      <c r="P10" s="1">
        <f t="shared" si="9"/>
        <v>0.29487911910825165</v>
      </c>
      <c r="Q10" s="1">
        <f t="shared" si="10"/>
        <v>3.2889246301390753</v>
      </c>
      <c r="R10" s="1">
        <f t="shared" si="11"/>
        <v>0.30405074985184871</v>
      </c>
      <c r="S10" s="1">
        <f t="shared" si="12"/>
        <v>3.2091864591359567</v>
      </c>
      <c r="T10" s="1">
        <f t="shared" si="13"/>
        <v>0.31160545288765823</v>
      </c>
      <c r="U10" s="1">
        <f t="shared" si="14"/>
        <v>3.1463604518038508</v>
      </c>
      <c r="V10" s="1">
        <f t="shared" si="15"/>
        <v>0.31782753925307144</v>
      </c>
      <c r="W10" s="1">
        <f t="shared" si="16"/>
        <v>3.096409311134372</v>
      </c>
      <c r="X10" s="1">
        <f t="shared" si="17"/>
        <v>0.32295471932735187</v>
      </c>
      <c r="Y10" s="1">
        <f t="shared" si="18"/>
        <v>3.0563859447502839</v>
      </c>
      <c r="Z10" s="1">
        <f t="shared" si="19"/>
        <v>0.32718381057785656</v>
      </c>
      <c r="AA10" s="1">
        <f t="shared" si="20"/>
        <v>3.0241037183551778</v>
      </c>
      <c r="AB10" s="1">
        <f t="shared" si="21"/>
        <v>0.33067648901404217</v>
      </c>
      <c r="AC10" s="1">
        <f t="shared" si="22"/>
        <v>2.9979170469330554</v>
      </c>
      <c r="AD10" s="1">
        <f t="shared" si="23"/>
        <v>0.333564933366994</v>
      </c>
      <c r="AE10" s="1">
        <f t="shared" si="24"/>
        <v>2.976571641135195</v>
      </c>
      <c r="AF10" s="1">
        <f t="shared" si="25"/>
        <v>0.33595697351286441</v>
      </c>
      <c r="AG10" s="1">
        <f t="shared" si="27"/>
        <v>2.9591003795730573</v>
      </c>
    </row>
    <row r="11" spans="2:33" x14ac:dyDescent="0.2">
      <c r="B11" s="1">
        <v>9</v>
      </c>
      <c r="C11" s="1">
        <v>0</v>
      </c>
      <c r="D11" s="1">
        <v>9</v>
      </c>
      <c r="E11" s="1">
        <f t="shared" si="0"/>
        <v>6.2936475910238254</v>
      </c>
      <c r="F11" s="1">
        <f t="shared" si="26"/>
        <v>0.15889037089179059</v>
      </c>
      <c r="G11" s="1">
        <f t="shared" si="1"/>
        <v>6.5156457900537248</v>
      </c>
      <c r="H11" s="1">
        <f t="shared" si="26"/>
        <v>0.15347672851193381</v>
      </c>
      <c r="I11" s="1">
        <f t="shared" si="2"/>
        <v>6.7575253517523759</v>
      </c>
      <c r="J11" s="1">
        <f t="shared" si="3"/>
        <v>0.14798316661004873</v>
      </c>
      <c r="K11" s="1">
        <f t="shared" si="4"/>
        <v>6.9545946067058173</v>
      </c>
      <c r="L11" s="1">
        <f t="shared" si="5"/>
        <v>0.14378983341973256</v>
      </c>
      <c r="M11" s="1">
        <f t="shared" si="6"/>
        <v>7.1049355787957076</v>
      </c>
      <c r="N11" s="1">
        <f t="shared" si="7"/>
        <v>0.14074722971232073</v>
      </c>
      <c r="O11" s="1">
        <f t="shared" si="8"/>
        <v>7.2185408786299314</v>
      </c>
      <c r="P11" s="1">
        <f t="shared" si="9"/>
        <v>0.13853215169293306</v>
      </c>
      <c r="Q11" s="1">
        <f t="shared" si="10"/>
        <v>7.3050089440284065</v>
      </c>
      <c r="R11" s="1">
        <f t="shared" si="11"/>
        <v>0.13689237174958774</v>
      </c>
      <c r="S11" s="1">
        <f t="shared" si="12"/>
        <v>7.3715692900578427</v>
      </c>
      <c r="T11" s="1">
        <f t="shared" si="13"/>
        <v>0.1356563250851778</v>
      </c>
      <c r="U11" s="1">
        <f t="shared" si="14"/>
        <v>7.4233902698948624</v>
      </c>
      <c r="V11" s="1">
        <f t="shared" si="15"/>
        <v>0.13470933948541589</v>
      </c>
      <c r="W11" s="1">
        <f t="shared" si="16"/>
        <v>7.464154205489395</v>
      </c>
      <c r="X11" s="1">
        <f t="shared" si="17"/>
        <v>0.13397365226787059</v>
      </c>
      <c r="Y11" s="1">
        <f t="shared" si="18"/>
        <v>7.4965128420618825</v>
      </c>
      <c r="Z11" s="1">
        <f t="shared" si="19"/>
        <v>0.13339535608998629</v>
      </c>
      <c r="AA11" s="1">
        <f t="shared" si="20"/>
        <v>7.5224028845962465</v>
      </c>
      <c r="AB11" s="1">
        <f t="shared" si="21"/>
        <v>0.13293624594977718</v>
      </c>
      <c r="AC11" s="1">
        <f t="shared" si="22"/>
        <v>7.5432591380303506</v>
      </c>
      <c r="AD11" s="1">
        <f t="shared" si="23"/>
        <v>0.13256869235187296</v>
      </c>
      <c r="AE11" s="1">
        <f t="shared" si="24"/>
        <v>7.5601590682262785</v>
      </c>
      <c r="AF11" s="1">
        <f t="shared" si="25"/>
        <v>0.13227234916296732</v>
      </c>
      <c r="AG11" s="1">
        <f t="shared" si="27"/>
        <v>7.5739220454210789</v>
      </c>
    </row>
    <row r="12" spans="2:33" ht="13.5" thickBot="1" x14ac:dyDescent="0.25">
      <c r="B12" s="1">
        <v>10</v>
      </c>
      <c r="C12" s="1">
        <v>5</v>
      </c>
      <c r="D12" s="1">
        <v>0</v>
      </c>
      <c r="E12" s="1">
        <f t="shared" si="0"/>
        <v>4.6270941205037097</v>
      </c>
      <c r="F12" s="1">
        <f t="shared" si="26"/>
        <v>0.21611836153683839</v>
      </c>
      <c r="G12" s="1">
        <f t="shared" si="1"/>
        <v>4.1528931739582564</v>
      </c>
      <c r="H12" s="1">
        <f t="shared" si="26"/>
        <v>0.24079598441653816</v>
      </c>
      <c r="I12" s="1">
        <f t="shared" si="2"/>
        <v>3.8158548019491247</v>
      </c>
      <c r="J12" s="1">
        <f t="shared" si="3"/>
        <v>0.26206447883949979</v>
      </c>
      <c r="K12" s="1">
        <f t="shared" si="4"/>
        <v>3.5687569037331173</v>
      </c>
      <c r="L12" s="1">
        <f t="shared" si="5"/>
        <v>0.28020961555379259</v>
      </c>
      <c r="M12" s="1">
        <f t="shared" si="6"/>
        <v>3.3852959239376568</v>
      </c>
      <c r="N12" s="1">
        <f t="shared" si="7"/>
        <v>0.29539515081353224</v>
      </c>
      <c r="O12" s="1">
        <f t="shared" si="8"/>
        <v>3.2474469184993264</v>
      </c>
      <c r="P12" s="1">
        <f t="shared" si="9"/>
        <v>0.30793420957966228</v>
      </c>
      <c r="Q12" s="1">
        <f t="shared" si="10"/>
        <v>3.1425557591279318</v>
      </c>
      <c r="R12" s="1">
        <f t="shared" si="11"/>
        <v>0.31821233309715491</v>
      </c>
      <c r="S12" s="1">
        <f t="shared" si="12"/>
        <v>3.0617572385568765</v>
      </c>
      <c r="T12" s="1">
        <f t="shared" si="13"/>
        <v>0.32660982634643443</v>
      </c>
      <c r="U12" s="1">
        <f t="shared" si="14"/>
        <v>2.9988109188499368</v>
      </c>
      <c r="V12" s="1">
        <f t="shared" si="15"/>
        <v>0.33346550584906715</v>
      </c>
      <c r="W12" s="1">
        <f t="shared" si="16"/>
        <v>2.9492750043786891</v>
      </c>
      <c r="X12" s="1">
        <f t="shared" si="17"/>
        <v>0.33906638021728519</v>
      </c>
      <c r="Y12" s="1">
        <f t="shared" si="18"/>
        <v>2.9099443142302062</v>
      </c>
      <c r="Z12" s="1">
        <f t="shared" si="19"/>
        <v>0.34364918775586228</v>
      </c>
      <c r="AA12" s="1">
        <f t="shared" si="20"/>
        <v>2.8784729930580806</v>
      </c>
      <c r="AB12" s="1">
        <f t="shared" si="21"/>
        <v>0.34740642083898909</v>
      </c>
      <c r="AC12" s="1">
        <f t="shared" si="22"/>
        <v>2.8531203310132072</v>
      </c>
      <c r="AD12" s="1">
        <f t="shared" si="23"/>
        <v>0.35049345417719469</v>
      </c>
      <c r="AE12" s="1">
        <f t="shared" si="24"/>
        <v>2.8325777105118988</v>
      </c>
      <c r="AF12" s="1">
        <f t="shared" si="25"/>
        <v>0.35303532760599238</v>
      </c>
      <c r="AG12" s="1">
        <f t="shared" si="27"/>
        <v>2.8158492811484535</v>
      </c>
    </row>
    <row r="13" spans="2:33" ht="13.5" thickBot="1" x14ac:dyDescent="0.25">
      <c r="B13" s="1" t="s">
        <v>3</v>
      </c>
      <c r="C13" s="4">
        <f>AVERAGE(C3:C12)</f>
        <v>4.5</v>
      </c>
      <c r="D13" s="5">
        <f>AVERAGE(D3:D12)</f>
        <v>4.5999999999999996</v>
      </c>
      <c r="E13" s="3">
        <f>SUM(E3:E12)</f>
        <v>50.886788461206081</v>
      </c>
      <c r="F13" s="1">
        <f>SUM(F3:F12)</f>
        <v>2.0906241019563323</v>
      </c>
      <c r="H13" s="1">
        <f>SUM(H3:H12)</f>
        <v>2.2231162428277105</v>
      </c>
      <c r="J13" s="1">
        <f>SUM(J3:J12)</f>
        <v>2.3530901849602071</v>
      </c>
      <c r="L13" s="1">
        <f>SUM(L3:L12)</f>
        <v>2.4807766505797226</v>
      </c>
      <c r="N13" s="1">
        <f>SUM(N3:N12)</f>
        <v>2.6035874432643444</v>
      </c>
      <c r="P13" s="1">
        <f>SUM(P3:P12)</f>
        <v>2.71914456524435</v>
      </c>
      <c r="R13" s="1">
        <f>SUM(R3:R12)</f>
        <v>2.8258592129175355</v>
      </c>
      <c r="T13" s="1">
        <f>SUM(T3:T12)</f>
        <v>2.9228860268626362</v>
      </c>
      <c r="V13" s="1">
        <f>SUM(V3:V12)</f>
        <v>3.0099653392366132</v>
      </c>
      <c r="X13" s="1">
        <f>SUM(X3:X12)</f>
        <v>3.0872670982078252</v>
      </c>
      <c r="Z13" s="1">
        <f>SUM(Z3:Z12)</f>
        <v>3.155257950543727</v>
      </c>
      <c r="AB13" s="1">
        <f>SUM(AB3:AB12)</f>
        <v>3.2145934799594427</v>
      </c>
      <c r="AD13" s="1">
        <f>SUM(AD3:AD12)</f>
        <v>3.2660339730492201</v>
      </c>
      <c r="AF13" s="1">
        <f>SUM(AF3:AF12)</f>
        <v>3.3103812109733548</v>
      </c>
    </row>
    <row r="14" spans="2:33" ht="13.5" thickBot="1" x14ac:dyDescent="0.25">
      <c r="C14" s="4">
        <f>SUMPRODUCT($C3:$C12,F3:F12)/F13</f>
        <v>4.2839714784285023</v>
      </c>
      <c r="D14" s="5">
        <f>SUMPRODUCT($D3:$D12,F3:F12)/F13</f>
        <v>4.090699802063849</v>
      </c>
      <c r="E14" s="3">
        <f>SUM(G3:G12)</f>
        <v>50.357724667484021</v>
      </c>
    </row>
    <row r="15" spans="2:33" ht="13.5" thickBot="1" x14ac:dyDescent="0.25">
      <c r="C15" s="4">
        <f>SUMPRODUCT($C3:$C12,H3:H12)/H13</f>
        <v>4.24199891733159</v>
      </c>
      <c r="D15" s="5">
        <f>SUMPRODUCT($D3:$D12,H3:H12)/H13</f>
        <v>3.7398104535165566</v>
      </c>
      <c r="E15" s="3">
        <f>SUM(I3:I12)</f>
        <v>50.114439127248652</v>
      </c>
    </row>
    <row r="16" spans="2:33" ht="13.5" thickBot="1" x14ac:dyDescent="0.25">
      <c r="C16" s="4">
        <f>SUMPRODUCT($C3:$C12,J3:J12)/J13</f>
        <v>4.2390850188438236</v>
      </c>
      <c r="D16" s="5">
        <f>SUMPRODUCT($D3:$D12,J3:J12)/J13</f>
        <v>3.4866938823755209</v>
      </c>
      <c r="E16" s="3">
        <f>SUM(K3:K12)</f>
        <v>49.980103705469709</v>
      </c>
    </row>
    <row r="17" spans="3:5" ht="13.5" thickBot="1" x14ac:dyDescent="0.25">
      <c r="C17" s="4">
        <f>SUMPRODUCT($C3:$C12,L3:L12)/L13</f>
        <v>4.2399613143819312</v>
      </c>
      <c r="D17" s="5">
        <f>SUMPRODUCT($D3:$D12,L3:L12)/L13</f>
        <v>3.2988740032006181</v>
      </c>
      <c r="E17" s="3">
        <f>SUM(M3:M12)</f>
        <v>49.901628204740909</v>
      </c>
    </row>
    <row r="18" spans="3:5" ht="13.5" thickBot="1" x14ac:dyDescent="0.25">
      <c r="C18" s="4">
        <f>SUMPRODUCT($C3:$C12,N3:N12)/N13</f>
        <v>4.2386155937504633</v>
      </c>
      <c r="D18" s="5">
        <f>SUMPRODUCT($D3:$D12,N3:N12)/N13</f>
        <v>3.1569297227513338</v>
      </c>
      <c r="E18" s="3">
        <f>SUM(O3:O12)</f>
        <v>49.854377407562907</v>
      </c>
    </row>
    <row r="19" spans="3:5" ht="13.5" thickBot="1" x14ac:dyDescent="0.25">
      <c r="C19" s="4">
        <f>SUMPRODUCT($C3:$C12,P3:P12)/P13</f>
        <v>4.2353421308768304</v>
      </c>
      <c r="D19" s="5">
        <f>SUMPRODUCT($D3:$D12,P3:P12)/P13</f>
        <v>3.0481067964256345</v>
      </c>
      <c r="E19" s="3">
        <f>SUM(Q3:Q12)</f>
        <v>49.825248146643432</v>
      </c>
    </row>
    <row r="20" spans="3:5" ht="13.5" thickBot="1" x14ac:dyDescent="0.25">
      <c r="C20" s="4">
        <f>SUMPRODUCT($C3:$C12,R3:R12)/R13</f>
        <v>4.2311300854115368</v>
      </c>
      <c r="D20" s="5">
        <f>SUMPRODUCT($D3:$D12,R3:R12)/R13</f>
        <v>2.9636458024359391</v>
      </c>
      <c r="E20" s="3">
        <f>SUM(S3:S12)</f>
        <v>49.806932902034397</v>
      </c>
    </row>
    <row r="21" spans="3:5" ht="13.5" thickBot="1" x14ac:dyDescent="0.25">
      <c r="C21" s="4">
        <f>SUMPRODUCT($C3:$C12,T3:T12)/T13</f>
        <v>4.226679291415433</v>
      </c>
      <c r="D21" s="5">
        <f>SUMPRODUCT($D3:$D12,T3:T12)/T13</f>
        <v>2.8973853745554567</v>
      </c>
      <c r="E21" s="3">
        <f>SUM(U3:U12)</f>
        <v>49.795223676352123</v>
      </c>
    </row>
    <row r="22" spans="3:5" ht="13.5" thickBot="1" x14ac:dyDescent="0.25">
      <c r="C22" s="4">
        <f>SUMPRODUCT($C3:$C12,V3:V12)/V13</f>
        <v>4.2223818926566805</v>
      </c>
      <c r="D22" s="5">
        <f>SUMPRODUCT($D3:$D12,V3:V12)/V13</f>
        <v>2.8449135541497053</v>
      </c>
      <c r="E22" s="3">
        <f>SUM(W3:W12)</f>
        <v>49.787631346137054</v>
      </c>
    </row>
    <row r="23" spans="3:5" ht="13.5" thickBot="1" x14ac:dyDescent="0.25">
      <c r="C23" s="4">
        <f>SUMPRODUCT($C3:$C12,X3:X12)/X13</f>
        <v>4.2184297828365951</v>
      </c>
      <c r="D23" s="5">
        <f>SUMPRODUCT($D3:$D12,X3:X12)/X13</f>
        <v>2.8030204971715516</v>
      </c>
      <c r="E23" s="3">
        <f>SUM(Y3:Y12)</f>
        <v>49.7826490481823</v>
      </c>
    </row>
    <row r="24" spans="3:5" ht="13.5" thickBot="1" x14ac:dyDescent="0.25">
      <c r="C24" s="4">
        <f>SUMPRODUCT($C3:$C12,Z3:Z12)/Z13</f>
        <v>4.214899131901217</v>
      </c>
      <c r="D24" s="5">
        <f>SUMPRODUCT($D3:$D12,Z3:Z12)/Z13</f>
        <v>2.7693362740330545</v>
      </c>
      <c r="E24" s="3">
        <f>SUM(AA3:AA12)</f>
        <v>49.779346043838025</v>
      </c>
    </row>
    <row r="25" spans="3:5" ht="13.5" thickBot="1" x14ac:dyDescent="0.25">
      <c r="C25" s="4">
        <f>SUMPRODUCT($C3:$C12,AB3:AB12)/AB13</f>
        <v>4.2118027492627244</v>
      </c>
      <c r="D25" s="5">
        <f>SUMPRODUCT($D3:$D12,AB3:AB12)/AB13</f>
        <v>2.742086927354987</v>
      </c>
      <c r="E25" s="3">
        <f>SUM(AC3:AC12)</f>
        <v>49.777137295870901</v>
      </c>
    </row>
    <row r="26" spans="3:5" ht="13.5" thickBot="1" x14ac:dyDescent="0.25">
      <c r="C26" s="4">
        <f>SUMPRODUCT($C3:$C12,AD3:AD12)/AD13</f>
        <v>4.2091205621803596</v>
      </c>
      <c r="D26" s="5">
        <f>SUMPRODUCT($D3:$D12,AD3:AD12)/AD13</f>
        <v>2.7199276095004663</v>
      </c>
      <c r="E26" s="3">
        <f>SUM(AE3:AE12)</f>
        <v>49.775649406661401</v>
      </c>
    </row>
    <row r="27" spans="3:5" ht="13.5" thickBot="1" x14ac:dyDescent="0.25">
      <c r="C27" s="4">
        <f>SUMPRODUCT($C3:$C12,AF3:AF12)/AF13</f>
        <v>4.2068169705612872</v>
      </c>
      <c r="D27" s="5">
        <f>SUMPRODUCT($D3:$D12,AF3:AF12)/AF13</f>
        <v>2.7018267627578729</v>
      </c>
      <c r="E27" s="3">
        <f>SUM(AG3:AG12)</f>
        <v>49.774640861960641</v>
      </c>
    </row>
    <row r="29" spans="3:5" ht="13.5" thickBot="1" x14ac:dyDescent="0.25"/>
    <row r="30" spans="3:5" ht="13.5" thickBot="1" x14ac:dyDescent="0.25">
      <c r="C30" s="4">
        <f>AVERAGE(C20:C29)</f>
        <v>4.217657558278229</v>
      </c>
      <c r="D30" s="5">
        <f>AVERAGE(D20:D29)</f>
        <v>2.8052678502448791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12</vt:i4>
      </vt:variant>
    </vt:vector>
  </HeadingPairs>
  <TitlesOfParts>
    <vt:vector size="17" baseType="lpstr">
      <vt:lpstr>Allocation-Lacation</vt:lpstr>
      <vt:lpstr>Maximize Minimum Distance</vt:lpstr>
      <vt:lpstr>Minimize Rectilinear Distance</vt:lpstr>
      <vt:lpstr>Minimize the Maximum Distance</vt:lpstr>
      <vt:lpstr>Sheet3</vt:lpstr>
      <vt:lpstr>'Allocation-Lacation'!Customer</vt:lpstr>
      <vt:lpstr>Customer</vt:lpstr>
      <vt:lpstr>'Allocation-Lacation'!Facility</vt:lpstr>
      <vt:lpstr>Facility</vt:lpstr>
      <vt:lpstr>'Allocation-Lacation'!X</vt:lpstr>
      <vt:lpstr>X</vt:lpstr>
      <vt:lpstr>'Allocation-Lacation'!Xdist</vt:lpstr>
      <vt:lpstr>Xdist</vt:lpstr>
      <vt:lpstr>'Allocation-Lacation'!Y</vt:lpstr>
      <vt:lpstr>Y</vt:lpstr>
      <vt:lpstr>'Allocation-Lacation'!Ydist</vt:lpstr>
      <vt:lpstr>Ydist</vt:lpstr>
    </vt:vector>
  </TitlesOfParts>
  <Company>ISyE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JVANDEVA</dc:creator>
  <cp:lastModifiedBy>刘玉阳</cp:lastModifiedBy>
  <cp:lastPrinted>2020-09-30T07:02:15Z</cp:lastPrinted>
  <dcterms:created xsi:type="dcterms:W3CDTF">2002-01-04T01:11:54Z</dcterms:created>
  <dcterms:modified xsi:type="dcterms:W3CDTF">2021-10-31T07:33:48Z</dcterms:modified>
</cp:coreProperties>
</file>